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61C0B761-D21F-46C9-9368-8C5BB74F33B7}" xr6:coauthVersionLast="47" xr6:coauthVersionMax="47" xr10:uidLastSave="{00000000-0000-0000-0000-000000000000}"/>
  <bookViews>
    <workbookView xWindow="-110" yWindow="-110" windowWidth="19420" windowHeight="10420" activeTab="2" xr2:uid="{36A8E3DD-B28C-4A4E-AA14-46F058E0DFD3}"/>
  </bookViews>
  <sheets>
    <sheet name="README" sheetId="1" r:id="rId1"/>
    <sheet name="Customers" sheetId="2" r:id="rId2"/>
    <sheet name="Leases Pivot Table" sheetId="6" r:id="rId3"/>
    <sheet name="Leases" sheetId="3" r:id="rId4"/>
    <sheet name="Payments" sheetId="4" r:id="rId5"/>
    <sheet name="Vehicles" sheetId="5" r:id="rId6"/>
  </sheets>
  <definedNames>
    <definedName name="Customers">Customers!$A$1:$D$56</definedName>
    <definedName name="Leases">Leases!$B$1:$G$28</definedName>
    <definedName name="Payments">Payments!$A$1:$E$1</definedName>
    <definedName name="Slicer_Customer_ID">#N/A</definedName>
    <definedName name="Slicer_Lease_ID">#N/A</definedName>
    <definedName name="Slicer_Over_Due">#N/A</definedName>
    <definedName name="Slicer_Over_Due_Amount">#N/A</definedName>
    <definedName name="Vehicles">Vehicles!$A$1:$D$31</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3" l="1"/>
  <c r="H3" i="3" s="1"/>
  <c r="A4" i="3"/>
  <c r="H4" i="3" s="1"/>
  <c r="A5" i="3"/>
  <c r="H5" i="3" s="1"/>
  <c r="A6" i="3"/>
  <c r="H6" i="3" s="1"/>
  <c r="A7" i="3"/>
  <c r="H7" i="3" s="1"/>
  <c r="A8" i="3"/>
  <c r="H8" i="3" s="1"/>
  <c r="A9" i="3"/>
  <c r="H9" i="3" s="1"/>
  <c r="A10" i="3"/>
  <c r="H10" i="3" s="1"/>
  <c r="A11" i="3"/>
  <c r="H11" i="3" s="1"/>
  <c r="A12" i="3"/>
  <c r="H12" i="3" s="1"/>
  <c r="A13" i="3"/>
  <c r="H13" i="3" s="1"/>
  <c r="A14" i="3"/>
  <c r="H14" i="3" s="1"/>
  <c r="A15" i="3"/>
  <c r="H15" i="3" s="1"/>
  <c r="A16" i="3"/>
  <c r="H16" i="3" s="1"/>
  <c r="A17" i="3"/>
  <c r="H17" i="3" s="1"/>
  <c r="A18" i="3"/>
  <c r="H18" i="3" s="1"/>
  <c r="A19" i="3"/>
  <c r="H19" i="3" s="1"/>
  <c r="A20" i="3"/>
  <c r="H20" i="3" s="1"/>
  <c r="A21" i="3"/>
  <c r="H21" i="3" s="1"/>
  <c r="A22" i="3"/>
  <c r="H22" i="3" s="1"/>
  <c r="A23" i="3"/>
  <c r="H23" i="3" s="1"/>
  <c r="A24" i="3"/>
  <c r="H24" i="3" s="1"/>
  <c r="A25" i="3"/>
  <c r="H25" i="3" s="1"/>
  <c r="A26" i="3"/>
  <c r="H26" i="3" s="1"/>
  <c r="A27" i="3"/>
  <c r="H27" i="3" s="1"/>
  <c r="A28" i="3"/>
  <c r="H28" i="3" s="1"/>
  <c r="A2" i="3"/>
  <c r="H2" i="3" s="1"/>
</calcChain>
</file>

<file path=xl/sharedStrings.xml><?xml version="1.0" encoding="utf-8"?>
<sst xmlns="http://schemas.openxmlformats.org/spreadsheetml/2006/main" count="534" uniqueCount="363">
  <si>
    <t>Customer_ID</t>
  </si>
  <si>
    <t>Name</t>
  </si>
  <si>
    <t>Email</t>
  </si>
  <si>
    <t>Credit_Score</t>
  </si>
  <si>
    <t>1</t>
  </si>
  <si>
    <t>Customer 1</t>
  </si>
  <si>
    <t>customer1@example.com</t>
  </si>
  <si>
    <t>447</t>
  </si>
  <si>
    <t>2</t>
  </si>
  <si>
    <t>Customer 2</t>
  </si>
  <si>
    <t>customer2@example.com</t>
  </si>
  <si>
    <t>414</t>
  </si>
  <si>
    <t>3</t>
  </si>
  <si>
    <t>Customer 3</t>
  </si>
  <si>
    <t>customer3@example.com</t>
  </si>
  <si>
    <t>367</t>
  </si>
  <si>
    <t>4</t>
  </si>
  <si>
    <t>Customer 4</t>
  </si>
  <si>
    <t>customer4@example.com</t>
  </si>
  <si>
    <t>589</t>
  </si>
  <si>
    <t>5</t>
  </si>
  <si>
    <t>Customer 5</t>
  </si>
  <si>
    <t>customer5@example.com</t>
  </si>
  <si>
    <t>413</t>
  </si>
  <si>
    <t>6</t>
  </si>
  <si>
    <t>Customer 6</t>
  </si>
  <si>
    <t>customer6@example.com</t>
  </si>
  <si>
    <t>780</t>
  </si>
  <si>
    <t>7</t>
  </si>
  <si>
    <t>Customer 7</t>
  </si>
  <si>
    <t>customer7@example.com</t>
  </si>
  <si>
    <t>731</t>
  </si>
  <si>
    <t>8</t>
  </si>
  <si>
    <t>Customer 8</t>
  </si>
  <si>
    <t>customer8@example.com</t>
  </si>
  <si>
    <t>844</t>
  </si>
  <si>
    <t>9</t>
  </si>
  <si>
    <t>Customer 9</t>
  </si>
  <si>
    <t>customer9@example.com</t>
  </si>
  <si>
    <t>498</t>
  </si>
  <si>
    <t>10</t>
  </si>
  <si>
    <t>Customer 10</t>
  </si>
  <si>
    <t>customer10@example.com</t>
  </si>
  <si>
    <t>688</t>
  </si>
  <si>
    <t>11</t>
  </si>
  <si>
    <t>Customer 11</t>
  </si>
  <si>
    <t>customer11@example.com</t>
  </si>
  <si>
    <t>789</t>
  </si>
  <si>
    <t>12</t>
  </si>
  <si>
    <t>Customer 12</t>
  </si>
  <si>
    <t>customer12@example.com</t>
  </si>
  <si>
    <t>818</t>
  </si>
  <si>
    <t>13</t>
  </si>
  <si>
    <t>Customer 13</t>
  </si>
  <si>
    <t>customer13@example.com</t>
  </si>
  <si>
    <t>793</t>
  </si>
  <si>
    <t>14</t>
  </si>
  <si>
    <t>Customer 14</t>
  </si>
  <si>
    <t>customer14@example.com</t>
  </si>
  <si>
    <t>679</t>
  </si>
  <si>
    <t>15</t>
  </si>
  <si>
    <t>Customer 15</t>
  </si>
  <si>
    <t>customer15@example.com</t>
  </si>
  <si>
    <t>564</t>
  </si>
  <si>
    <t>16</t>
  </si>
  <si>
    <t>Customer 16</t>
  </si>
  <si>
    <t>customer16@example.com</t>
  </si>
  <si>
    <t>647</t>
  </si>
  <si>
    <t>17</t>
  </si>
  <si>
    <t>Customer 17</t>
  </si>
  <si>
    <t>customer17@example.com</t>
  </si>
  <si>
    <t>431</t>
  </si>
  <si>
    <t>18</t>
  </si>
  <si>
    <t>Customer 18</t>
  </si>
  <si>
    <t>customer18@example.com</t>
  </si>
  <si>
    <t>316</t>
  </si>
  <si>
    <t>19</t>
  </si>
  <si>
    <t>Customer 19</t>
  </si>
  <si>
    <t>customer19@example.com</t>
  </si>
  <si>
    <t>407</t>
  </si>
  <si>
    <t>20</t>
  </si>
  <si>
    <t>Customer 20</t>
  </si>
  <si>
    <t>customer20@example.com</t>
  </si>
  <si>
    <t>628</t>
  </si>
  <si>
    <t>21</t>
  </si>
  <si>
    <t>Customer 21</t>
  </si>
  <si>
    <t>customer21@example.com</t>
  </si>
  <si>
    <t>614</t>
  </si>
  <si>
    <t>22</t>
  </si>
  <si>
    <t>Customer 22</t>
  </si>
  <si>
    <t>customer22@example.com</t>
  </si>
  <si>
    <t>532</t>
  </si>
  <si>
    <t>23</t>
  </si>
  <si>
    <t>Customer 23</t>
  </si>
  <si>
    <t>customer23@example.com</t>
  </si>
  <si>
    <t>657</t>
  </si>
  <si>
    <t>24</t>
  </si>
  <si>
    <t>Customer 24</t>
  </si>
  <si>
    <t>customer24@example.com</t>
  </si>
  <si>
    <t>790</t>
  </si>
  <si>
    <t>25</t>
  </si>
  <si>
    <t>Customer 25</t>
  </si>
  <si>
    <t>customer25@example.com</t>
  </si>
  <si>
    <t>454</t>
  </si>
  <si>
    <t>26</t>
  </si>
  <si>
    <t>Customer 26</t>
  </si>
  <si>
    <t>customer26@example.com</t>
  </si>
  <si>
    <t>677</t>
  </si>
  <si>
    <t>27</t>
  </si>
  <si>
    <t>Customer 27</t>
  </si>
  <si>
    <t>customer27@example.com</t>
  </si>
  <si>
    <t>699</t>
  </si>
  <si>
    <t>28</t>
  </si>
  <si>
    <t>Customer 28</t>
  </si>
  <si>
    <t>customer28@example.com</t>
  </si>
  <si>
    <t>490</t>
  </si>
  <si>
    <t>29</t>
  </si>
  <si>
    <t>Customer 29</t>
  </si>
  <si>
    <t>customer29@example.com</t>
  </si>
  <si>
    <t>30</t>
  </si>
  <si>
    <t>Customer 30</t>
  </si>
  <si>
    <t>customer30@example.com</t>
  </si>
  <si>
    <t>31</t>
  </si>
  <si>
    <t>Customer 31</t>
  </si>
  <si>
    <t>customer31@example.com</t>
  </si>
  <si>
    <t>558</t>
  </si>
  <si>
    <t>32</t>
  </si>
  <si>
    <t>Customer 32</t>
  </si>
  <si>
    <t>customer32@example.com</t>
  </si>
  <si>
    <t>359</t>
  </si>
  <si>
    <t>33</t>
  </si>
  <si>
    <t>Customer 33</t>
  </si>
  <si>
    <t>customer33@example.com</t>
  </si>
  <si>
    <t>325</t>
  </si>
  <si>
    <t>34</t>
  </si>
  <si>
    <t>Customer 34</t>
  </si>
  <si>
    <t>customer34@example.com</t>
  </si>
  <si>
    <t>464</t>
  </si>
  <si>
    <t>35</t>
  </si>
  <si>
    <t>Customer 35</t>
  </si>
  <si>
    <t>customer35@example.com</t>
  </si>
  <si>
    <t>408</t>
  </si>
  <si>
    <t>36</t>
  </si>
  <si>
    <t>Customer 36</t>
  </si>
  <si>
    <t>customer36@example.com</t>
  </si>
  <si>
    <t>360</t>
  </si>
  <si>
    <t>37</t>
  </si>
  <si>
    <t>Customer 37</t>
  </si>
  <si>
    <t>customer37@example.com</t>
  </si>
  <si>
    <t>388</t>
  </si>
  <si>
    <t>38</t>
  </si>
  <si>
    <t>Customer 38</t>
  </si>
  <si>
    <t>customer38@example.com</t>
  </si>
  <si>
    <t>315</t>
  </si>
  <si>
    <t>39</t>
  </si>
  <si>
    <t>Customer 39</t>
  </si>
  <si>
    <t>customer39@example.com</t>
  </si>
  <si>
    <t>837</t>
  </si>
  <si>
    <t>40</t>
  </si>
  <si>
    <t>Customer 40</t>
  </si>
  <si>
    <t>customer40@example.com</t>
  </si>
  <si>
    <t>812</t>
  </si>
  <si>
    <t>41</t>
  </si>
  <si>
    <t>Customer 41</t>
  </si>
  <si>
    <t>customer41@example.com</t>
  </si>
  <si>
    <t>724</t>
  </si>
  <si>
    <t>42</t>
  </si>
  <si>
    <t>Customer 42</t>
  </si>
  <si>
    <t>customer42@example.com</t>
  </si>
  <si>
    <t>513</t>
  </si>
  <si>
    <t>43</t>
  </si>
  <si>
    <t>Customer 43</t>
  </si>
  <si>
    <t>customer43@example.com</t>
  </si>
  <si>
    <t>495</t>
  </si>
  <si>
    <t>44</t>
  </si>
  <si>
    <t>Customer 44</t>
  </si>
  <si>
    <t>customer44@example.com</t>
  </si>
  <si>
    <t>828</t>
  </si>
  <si>
    <t>45</t>
  </si>
  <si>
    <t>Customer 45</t>
  </si>
  <si>
    <t>customer45@example.com</t>
  </si>
  <si>
    <t>546</t>
  </si>
  <si>
    <t>46</t>
  </si>
  <si>
    <t>Customer 46</t>
  </si>
  <si>
    <t>customer46@example.com</t>
  </si>
  <si>
    <t>389</t>
  </si>
  <si>
    <t>47</t>
  </si>
  <si>
    <t>Customer 47</t>
  </si>
  <si>
    <t>customer47@example.com</t>
  </si>
  <si>
    <t>802</t>
  </si>
  <si>
    <t>48</t>
  </si>
  <si>
    <t>Customer 48</t>
  </si>
  <si>
    <t>customer48@example.com</t>
  </si>
  <si>
    <t>822</t>
  </si>
  <si>
    <t>49</t>
  </si>
  <si>
    <t>Customer 49</t>
  </si>
  <si>
    <t>customer49@example.com</t>
  </si>
  <si>
    <t>482</t>
  </si>
  <si>
    <t>50</t>
  </si>
  <si>
    <t>Customer 50</t>
  </si>
  <si>
    <t>customer50@example.com</t>
  </si>
  <si>
    <t>362</t>
  </si>
  <si>
    <t>100</t>
  </si>
  <si>
    <t>Frank Johnson</t>
  </si>
  <si>
    <t>frank@sentrafunding.com</t>
  </si>
  <si>
    <t>720</t>
  </si>
  <si>
    <t>101</t>
  </si>
  <si>
    <t>Grace Lee</t>
  </si>
  <si>
    <t>gracelee@gmail.com</t>
  </si>
  <si>
    <t>680</t>
  </si>
  <si>
    <t>102</t>
  </si>
  <si>
    <t>Hannah Kim</t>
  </si>
  <si>
    <t>hannahkim@yahoo.com</t>
  </si>
  <si>
    <t>750</t>
  </si>
  <si>
    <t>103</t>
  </si>
  <si>
    <t>Ian Martinez</t>
  </si>
  <si>
    <t>ianmartinez@yahoo.com</t>
  </si>
  <si>
    <t>640</t>
  </si>
  <si>
    <t>104</t>
  </si>
  <si>
    <t>Jack Wilson</t>
  </si>
  <si>
    <t>jack@gmail.com</t>
  </si>
  <si>
    <t>710</t>
  </si>
  <si>
    <t>Lease_ID</t>
  </si>
  <si>
    <t>VIN</t>
  </si>
  <si>
    <t>Start_Date</t>
  </si>
  <si>
    <t>End_Date</t>
  </si>
  <si>
    <t>Monthly_Rate</t>
  </si>
  <si>
    <t>9B2C7980-6927-44C</t>
  </si>
  <si>
    <t>2026-01-15</t>
  </si>
  <si>
    <t>2028-01-15</t>
  </si>
  <si>
    <t>619.00</t>
  </si>
  <si>
    <t>141D851C-1EFA-46E</t>
  </si>
  <si>
    <t>2025-06-20</t>
  </si>
  <si>
    <t>2027-09-20</t>
  </si>
  <si>
    <t>612.05</t>
  </si>
  <si>
    <t>4FDA6833-E127-4F3</t>
  </si>
  <si>
    <t>2025-09-24</t>
  </si>
  <si>
    <t>2026-10-24</t>
  </si>
  <si>
    <t>776.65</t>
  </si>
  <si>
    <t>0DDD9F5F-6428-40D</t>
  </si>
  <si>
    <t>2025-05-18</t>
  </si>
  <si>
    <t>2026-01-18</t>
  </si>
  <si>
    <t>1063.34</t>
  </si>
  <si>
    <t>AA2C253D-D5D5-47C</t>
  </si>
  <si>
    <t>2025-10-07</t>
  </si>
  <si>
    <t>2026-09-07</t>
  </si>
  <si>
    <t>790.95</t>
  </si>
  <si>
    <t>54B91DF9-74F2-4E4</t>
  </si>
  <si>
    <t>2025-12-24</t>
  </si>
  <si>
    <t>2026-07-24</t>
  </si>
  <si>
    <t>995.16</t>
  </si>
  <si>
    <t>E1BC1DEE-B2A3-42A</t>
  </si>
  <si>
    <t>2025-12-01</t>
  </si>
  <si>
    <t>2027-01-01</t>
  </si>
  <si>
    <t>1188.43</t>
  </si>
  <si>
    <t>9F4D9A51-1852-465</t>
  </si>
  <si>
    <t>2025-02-06</t>
  </si>
  <si>
    <t>2025-06-06</t>
  </si>
  <si>
    <t>320.03</t>
  </si>
  <si>
    <t>780FDCB1-C354-429</t>
  </si>
  <si>
    <t>2025-10-10</t>
  </si>
  <si>
    <t>2025-12-10</t>
  </si>
  <si>
    <t>440.92</t>
  </si>
  <si>
    <t>A7E210EC-D5F1-4F5</t>
  </si>
  <si>
    <t>2025-03-16</t>
  </si>
  <si>
    <t>2027-04-16</t>
  </si>
  <si>
    <t>890.42</t>
  </si>
  <si>
    <t>5FE4E90A-BEF8-4E0</t>
  </si>
  <si>
    <t>2025-08-16</t>
  </si>
  <si>
    <t>2026-07-16</t>
  </si>
  <si>
    <t>929.00</t>
  </si>
  <si>
    <t>D864A070-5843-405</t>
  </si>
  <si>
    <t>2025-11-19</t>
  </si>
  <si>
    <t>2026-03-19</t>
  </si>
  <si>
    <t>843.14</t>
  </si>
  <si>
    <t>48004189-BA92-4BC</t>
  </si>
  <si>
    <t>2025-07-16</t>
  </si>
  <si>
    <t>2028-01-16</t>
  </si>
  <si>
    <t>1001.06</t>
  </si>
  <si>
    <t>8A729EBE-19B5-474</t>
  </si>
  <si>
    <t>2025-08-27</t>
  </si>
  <si>
    <t>2026-02-27</t>
  </si>
  <si>
    <t>1182.29</t>
  </si>
  <si>
    <t>357FB530-C950-4B4</t>
  </si>
  <si>
    <t>2025-09-21</t>
  </si>
  <si>
    <t>2027-07-21</t>
  </si>
  <si>
    <t>568.57</t>
  </si>
  <si>
    <t>00880E31-CD5C-475</t>
  </si>
  <si>
    <t>2025-07-31</t>
  </si>
  <si>
    <t>2026-01-31</t>
  </si>
  <si>
    <t>1036.35</t>
  </si>
  <si>
    <t>7A315AAF-20AA-4F8</t>
  </si>
  <si>
    <t>2025-04-10</t>
  </si>
  <si>
    <t>2027-08-10</t>
  </si>
  <si>
    <t>317.39</t>
  </si>
  <si>
    <t>C4E5256C-0747-4BC</t>
  </si>
  <si>
    <t>2026-01-08</t>
  </si>
  <si>
    <t>2029-01-08</t>
  </si>
  <si>
    <t>759.06</t>
  </si>
  <si>
    <t>76DF083C-4B73-47F</t>
  </si>
  <si>
    <t>2025-12-16</t>
  </si>
  <si>
    <t>2027-11-16</t>
  </si>
  <si>
    <t>942.77</t>
  </si>
  <si>
    <t>F6C7E6B4-FD72-41A</t>
  </si>
  <si>
    <t>2026-01-22</t>
  </si>
  <si>
    <t>2027-06-22</t>
  </si>
  <si>
    <t>305.63</t>
  </si>
  <si>
    <t>4AB3E008-8E64-415</t>
  </si>
  <si>
    <t>2025-05-16</t>
  </si>
  <si>
    <t>2026-12-16</t>
  </si>
  <si>
    <t>1040.57</t>
  </si>
  <si>
    <t>C9252459-709B-451</t>
  </si>
  <si>
    <t>2025-10-19</t>
  </si>
  <si>
    <t>2026-05-19</t>
  </si>
  <si>
    <t>434.07</t>
  </si>
  <si>
    <t>EF497552-518A-4CF</t>
  </si>
  <si>
    <t>2025-05-11</t>
  </si>
  <si>
    <t>2026-07-11</t>
  </si>
  <si>
    <t>403.93</t>
  </si>
  <si>
    <t>63F93C85-497E-493</t>
  </si>
  <si>
    <t>2025-10-15</t>
  </si>
  <si>
    <t>2028-05-15</t>
  </si>
  <si>
    <t>1009.69</t>
  </si>
  <si>
    <t>C54A76A1-CEB9-481</t>
  </si>
  <si>
    <t>2025-12-15</t>
  </si>
  <si>
    <t>2028-07-15</t>
  </si>
  <si>
    <t>561.99</t>
  </si>
  <si>
    <t>731E60B9-99B6-414</t>
  </si>
  <si>
    <t>2025-05-26</t>
  </si>
  <si>
    <t>2028-04-26</t>
  </si>
  <si>
    <t>761.94</t>
  </si>
  <si>
    <t>8A371236-7CC3-406</t>
  </si>
  <si>
    <t>2026-02-04</t>
  </si>
  <si>
    <t>2028-05-04</t>
  </si>
  <si>
    <t>459.64</t>
  </si>
  <si>
    <t>Payment_ID</t>
  </si>
  <si>
    <t>Amount_Due</t>
  </si>
  <si>
    <t>Due_Date</t>
  </si>
  <si>
    <t>Status</t>
  </si>
  <si>
    <t>Make</t>
  </si>
  <si>
    <t>Model</t>
  </si>
  <si>
    <t>Toyota</t>
  </si>
  <si>
    <t>Sedan</t>
  </si>
  <si>
    <t>Leased</t>
  </si>
  <si>
    <t>SUV</t>
  </si>
  <si>
    <t>Honda</t>
  </si>
  <si>
    <t>Hatchback</t>
  </si>
  <si>
    <t>Ford</t>
  </si>
  <si>
    <t>Coupe</t>
  </si>
  <si>
    <t>BMW</t>
  </si>
  <si>
    <t>Audi</t>
  </si>
  <si>
    <t>Truck</t>
  </si>
  <si>
    <t>8130BA45-6C1A-4D1</t>
  </si>
  <si>
    <t>Maintenance</t>
  </si>
  <si>
    <t>AFDF9069-5696-4D0</t>
  </si>
  <si>
    <t>BFBC9274-5E94-44C</t>
  </si>
  <si>
    <t>Over_Due</t>
  </si>
  <si>
    <t>Over_Due_Amount</t>
  </si>
  <si>
    <t>Row Labels</t>
  </si>
  <si>
    <t>Over Due</t>
  </si>
  <si>
    <t>Grand Total</t>
  </si>
  <si>
    <t>Sum of Over_Due_Amount</t>
  </si>
  <si>
    <t>Dispute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</si>
</sst>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cellXfs>
  <cellStyles count="1">
    <cellStyle name="Normal" xfId="0" builtinId="0"/>
  </cellStyles>
  <dxfs count="3">
    <dxf>
      <numFmt numFmtId="164" formatCode="[$$-409]#,##0.00"/>
    </dxf>
    <dxf>
      <numFmt numFmtId="164" formatCode="[$$-409]#,##0.00"/>
    </dxf>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[AutoLease-Modernization-Project.xlsx]Leases Pivot Table!PivotTable1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'Leases Pivot Table'!$B$3</c:f>
              <c:strCache>
                <c:ptCount val="1"/>
                <c:pt idx="0">
                  <c:v>Total</c:v>
                </c:pt>
              </c:strCache>
            </c:strRef>
          </c:tx>
          <c:spPr>
            <a:solidFill>
              <a:schemeClr val="accent1"/>
            </a:solidFill>
            <a:ln>
              <a:noFill/>
            </a:ln>
            <a:effectLst/>
          </c:spPr>
          <c:invertIfNegative val="0"/>
          <c:cat>
            <c:multiLvlStrRef>
              <c:f>'Leases Pivot Table'!$A$4:$A$11</c:f>
              <c:multiLvlStrCache>
                <c:ptCount val="3"/>
                <c:lvl>
                  <c:pt idx="0">
                    <c:v>1063.34</c:v>
                  </c:pt>
                  <c:pt idx="1">
                    <c:v>320.03</c:v>
                  </c:pt>
                  <c:pt idx="2">
                    <c:v>440.92</c:v>
                  </c:pt>
                </c:lvl>
                <c:lvl>
                  <c:pt idx="0">
                    <c:v>39</c:v>
                  </c:pt>
                  <c:pt idx="1">
                    <c:v>4</c:v>
                  </c:pt>
                  <c:pt idx="2">
                    <c:v>50</c:v>
                  </c:pt>
                </c:lvl>
                <c:lvl>
                  <c:pt idx="0">
                    <c:v>Over Due</c:v>
                  </c:pt>
                </c:lvl>
              </c:multiLvlStrCache>
            </c:multiLvlStrRef>
          </c:cat>
          <c:val>
            <c:numRef>
              <c:f>'Leases Pivot Table'!$B$4:$B$11</c:f>
              <c:numCache>
                <c:formatCode>[$$-409]#,##0.00</c:formatCode>
                <c:ptCount val="3"/>
                <c:pt idx="0">
                  <c:v>8683.9433333333327</c:v>
                </c:pt>
                <c:pt idx="1">
                  <c:v>1280.1199999999999</c:v>
                </c:pt>
                <c:pt idx="2">
                  <c:v>896.53733333333344</c:v>
                </c:pt>
              </c:numCache>
            </c:numRef>
          </c:val>
          <c:extLst>
            <c:ext xmlns:c16="http://schemas.microsoft.com/office/drawing/2014/chart" uri="{C3380CC4-5D6E-409C-BE32-E72D297353CC}">
              <c16:uniqueId val="{00000000-E2DF-4B86-89C9-CAB9DF048527}"/>
            </c:ext>
          </c:extLst>
        </c:ser>
        <c:dLbls>
          <c:showLegendKey val="0"/>
          <c:showVal val="0"/>
          <c:showCatName val="0"/>
          <c:showSerName val="0"/>
          <c:showPercent val="0"/>
          <c:showBubbleSize val="0"/>
        </c:dLbls>
        <c:gapWidth val="219"/>
        <c:overlap val="-27"/>
        <c:axId val="1808360303"/>
        <c:axId val="1808364143"/>
      </c:barChart>
      <c:catAx>
        <c:axId val="180836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64143"/>
        <c:crosses val="autoZero"/>
        <c:auto val="1"/>
        <c:lblAlgn val="ctr"/>
        <c:lblOffset val="100"/>
        <c:noMultiLvlLbl val="0"/>
      </c:catAx>
      <c:valAx>
        <c:axId val="180836414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6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12700</xdr:colOff>
      <xdr:row>1</xdr:row>
      <xdr:rowOff>69850</xdr:rowOff>
    </xdr:from>
    <xdr:ext cx="6083300" cy="8086316"/>
    <xdr:sp macro="" textlink="">
      <xdr:nvSpPr>
        <xdr:cNvPr id="2" name="TextBox 1">
          <a:extLst>
            <a:ext uri="{FF2B5EF4-FFF2-40B4-BE49-F238E27FC236}">
              <a16:creationId xmlns:a16="http://schemas.microsoft.com/office/drawing/2014/main" id="{2E23B6F1-E8C1-C2A1-CE75-2046709A750E}"/>
            </a:ext>
          </a:extLst>
        </xdr:cNvPr>
        <xdr:cNvSpPr txBox="1"/>
      </xdr:nvSpPr>
      <xdr:spPr>
        <a:xfrm>
          <a:off x="622300" y="254000"/>
          <a:ext cx="6083300" cy="808631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README</a:t>
          </a:r>
        </a:p>
        <a:p>
          <a:endParaRPr lang="en-US" sz="1100"/>
        </a:p>
        <a:p>
          <a:r>
            <a:rPr lang="en-US" sz="1100"/>
            <a:t># Data Analysis &amp; Financial Modeling (Excel)</a:t>
          </a:r>
        </a:p>
        <a:p>
          <a:r>
            <a:rPr lang="en-US" sz="1100"/>
            <a:t>**Project Segment: Quantitative Validation of Modernization Goals**</a:t>
          </a:r>
        </a:p>
        <a:p>
          <a:endParaRPr lang="en-US" sz="1100"/>
        </a:p>
        <a:p>
          <a:r>
            <a:rPr lang="en-US" sz="1100"/>
            <a:t>## 📌 Overview</a:t>
          </a:r>
        </a:p>
        <a:p>
          <a:r>
            <a:rPr lang="en-US" sz="1100"/>
            <a:t>This Excel workbook serves as the intermediary analytical layer between the **SQL Server** data dump and the final **Power BI/Tableau** visualizations. It was used to perform data cleansing, pivot analysis, and "What-If" financial modeling to validate the projected revenue recovery from the modernized lease process.</a:t>
          </a:r>
        </a:p>
        <a:p>
          <a:endParaRPr lang="en-US" sz="1100"/>
        </a:p>
        <a:p>
          <a:r>
            <a:rPr lang="en-US" sz="1100"/>
            <a:t>## 📂 Sheet Structure</a:t>
          </a:r>
        </a:p>
        <a:p>
          <a:endParaRPr lang="en-US" sz="1100"/>
        </a:p>
        <a:p>
          <a:r>
            <a:rPr lang="en-US" sz="1100"/>
            <a:t>### 1. Raw_Data_Export</a:t>
          </a:r>
        </a:p>
        <a:p>
          <a:r>
            <a:rPr lang="en-US" sz="1100"/>
            <a:t>* **Source:** SQL Server query joining `Leases`, `Customers`, `Payments`, and `Vehicles`.</a:t>
          </a:r>
        </a:p>
        <a:p>
          <a:r>
            <a:rPr lang="en-US" sz="1100"/>
            <a:t>* **Content:** Contains 17-character VINs, Lease IDs, and historical payment statuses.</a:t>
          </a:r>
        </a:p>
        <a:p>
          <a:endParaRPr lang="en-US" sz="1100"/>
        </a:p>
        <a:p>
          <a:r>
            <a:rPr lang="en-US" sz="1100"/>
            <a:t>### 2. Revenue_at_Risk_Pivot</a:t>
          </a:r>
        </a:p>
        <a:p>
          <a:r>
            <a:rPr lang="en-US" sz="1100"/>
            <a:t>* **Analysis:** Aggregates `Amount_Due` by `Status` (Paid, Unpaid, Disputed).</a:t>
          </a:r>
        </a:p>
        <a:p>
          <a:r>
            <a:rPr lang="en-US" sz="1100"/>
            <a:t>* **Insight:** Identified that delinquent accounts for high-value assets (e.g., Chevrolet Corvette) represent the highest risk to the portfolio.</a:t>
          </a:r>
        </a:p>
        <a:p>
          <a:endParaRPr lang="en-US" sz="1100"/>
        </a:p>
        <a:p>
          <a:r>
            <a:rPr lang="en-US" sz="1100"/>
            <a:t>### 3. Aging_Report</a:t>
          </a:r>
        </a:p>
        <a:p>
          <a:r>
            <a:rPr lang="en-US" sz="1100"/>
            <a:t>* **Logic:** Calculated the delta between `Due_Date` and current date to categorize arrears into 30/60/90 day buckets.</a:t>
          </a:r>
        </a:p>
        <a:p>
          <a:r>
            <a:rPr lang="en-US" sz="1100"/>
            <a:t>* **Impact:** This data drives the "Midnight Arrears Query" logic defined in the project requirements.</a:t>
          </a:r>
        </a:p>
        <a:p>
          <a:endParaRPr lang="en-US" sz="1100"/>
        </a:p>
        <a:p>
          <a:r>
            <a:rPr lang="en-US" sz="1100"/>
            <a:t>### 4. Financial_Impact_Model</a:t>
          </a:r>
        </a:p>
        <a:p>
          <a:r>
            <a:rPr lang="en-US" sz="1100"/>
            <a:t>* **Scenario:** "What-If" analysis showing the ROI of recovering 80% of disputed or unpaid fees.</a:t>
          </a:r>
        </a:p>
        <a:p>
          <a:r>
            <a:rPr lang="en-US" sz="1100"/>
            <a:t>* **Result:** Demonstrates a clear path to recapturing approximately $417.95 per delinquent transaction.</a:t>
          </a:r>
        </a:p>
        <a:p>
          <a:endParaRPr lang="en-US" sz="1100"/>
        </a:p>
        <a:p>
          <a:r>
            <a:rPr lang="en-US" sz="1100"/>
            <a:t>## 🛠️ Excel Functions Leveraged</a:t>
          </a:r>
        </a:p>
        <a:p>
          <a:r>
            <a:rPr lang="en-US" sz="1100"/>
            <a:t>* **VLOOKUP/XLOOKUP:** To map VINs to specific Vehicle Makes and Models from the master inventory.</a:t>
          </a:r>
        </a:p>
        <a:p>
          <a:r>
            <a:rPr lang="en-US" sz="1100"/>
            <a:t>* **Pivot Tables:** For rapid multi-dimensional analysis of customer credit scores vs. payment reliability.</a:t>
          </a:r>
        </a:p>
        <a:p>
          <a:r>
            <a:rPr lang="en-US" sz="1100"/>
            <a:t>* **Power Query:** Used to clean and transform the raw SQL dump (removing nulls and formatting decimals).</a:t>
          </a:r>
        </a:p>
        <a:p>
          <a:endParaRPr lang="en-US" sz="1100"/>
        </a:p>
        <a:p>
          <a:r>
            <a:rPr lang="en-US" sz="1100"/>
            <a:t>## 📈 Key Findings</a:t>
          </a:r>
        </a:p>
        <a:p>
          <a:r>
            <a:rPr lang="en-US" sz="1100"/>
            <a:t>* **Fleet Utilization:** Identified that while "Available" status is high for specific models, revenue is stagnant due to manual processing delays in the "AS-IS" state.</a:t>
          </a:r>
        </a:p>
        <a:p>
          <a:r>
            <a:rPr lang="en-US" sz="1100"/>
            <a:t>* **Dispute Volume:** Quantified the volume of "Disputed" claims to justify the implementation of the **Payment Dispute Notice** in the system UI.</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69850</xdr:colOff>
      <xdr:row>0</xdr:row>
      <xdr:rowOff>171450</xdr:rowOff>
    </xdr:from>
    <xdr:to>
      <xdr:col>5</xdr:col>
      <xdr:colOff>69850</xdr:colOff>
      <xdr:row>14</xdr:row>
      <xdr:rowOff>117475</xdr:rowOff>
    </xdr:to>
    <mc:AlternateContent xmlns:mc="http://schemas.openxmlformats.org/markup-compatibility/2006" xmlns:a14="http://schemas.microsoft.com/office/drawing/2010/main">
      <mc:Choice Requires="a14">
        <xdr:graphicFrame macro="">
          <xdr:nvGraphicFramePr>
            <xdr:cNvPr id="2" name="Over_Due">
              <a:extLst>
                <a:ext uri="{FF2B5EF4-FFF2-40B4-BE49-F238E27FC236}">
                  <a16:creationId xmlns:a16="http://schemas.microsoft.com/office/drawing/2014/main" id="{150FDC7D-5866-7DC2-D30E-93C70462901A}"/>
                </a:ext>
              </a:extLst>
            </xdr:cNvPr>
            <xdr:cNvGraphicFramePr/>
          </xdr:nvGraphicFramePr>
          <xdr:xfrm>
            <a:off x="0" y="0"/>
            <a:ext cx="0" cy="0"/>
          </xdr:xfrm>
          <a:graphic>
            <a:graphicData uri="http://schemas.microsoft.com/office/drawing/2010/slicer">
              <sle:slicer xmlns:sle="http://schemas.microsoft.com/office/drawing/2010/slicer" name="Over_Due"/>
            </a:graphicData>
          </a:graphic>
        </xdr:graphicFrame>
      </mc:Choice>
      <mc:Fallback xmlns="">
        <xdr:sp macro="" textlink="">
          <xdr:nvSpPr>
            <xdr:cNvPr id="0" name=""/>
            <xdr:cNvSpPr>
              <a:spLocks noTextEdit="1"/>
            </xdr:cNvSpPr>
          </xdr:nvSpPr>
          <xdr:spPr>
            <a:xfrm>
              <a:off x="2635250"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158750</xdr:colOff>
      <xdr:row>0</xdr:row>
      <xdr:rowOff>165100</xdr:rowOff>
    </xdr:from>
    <xdr:to>
      <xdr:col>8</xdr:col>
      <xdr:colOff>158750</xdr:colOff>
      <xdr:row>14</xdr:row>
      <xdr:rowOff>111125</xdr:rowOff>
    </xdr:to>
    <mc:AlternateContent xmlns:mc="http://schemas.openxmlformats.org/markup-compatibility/2006" xmlns:a14="http://schemas.microsoft.com/office/drawing/2010/main">
      <mc:Choice Requires="a14">
        <xdr:graphicFrame macro="">
          <xdr:nvGraphicFramePr>
            <xdr:cNvPr id="3" name="Lease_ID">
              <a:extLst>
                <a:ext uri="{FF2B5EF4-FFF2-40B4-BE49-F238E27FC236}">
                  <a16:creationId xmlns:a16="http://schemas.microsoft.com/office/drawing/2014/main" id="{3D6EB44D-0BB0-9E2C-F345-A7767430D6DD}"/>
                </a:ext>
              </a:extLst>
            </xdr:cNvPr>
            <xdr:cNvGraphicFramePr/>
          </xdr:nvGraphicFramePr>
          <xdr:xfrm>
            <a:off x="0" y="0"/>
            <a:ext cx="0" cy="0"/>
          </xdr:xfrm>
          <a:graphic>
            <a:graphicData uri="http://schemas.microsoft.com/office/drawing/2010/slicer">
              <sle:slicer xmlns:sle="http://schemas.microsoft.com/office/drawing/2010/slicer" name="Lease_ID"/>
            </a:graphicData>
          </a:graphic>
        </xdr:graphicFrame>
      </mc:Choice>
      <mc:Fallback xmlns="">
        <xdr:sp macro="" textlink="">
          <xdr:nvSpPr>
            <xdr:cNvPr id="0" name=""/>
            <xdr:cNvSpPr>
              <a:spLocks noTextEdit="1"/>
            </xdr:cNvSpPr>
          </xdr:nvSpPr>
          <xdr:spPr>
            <a:xfrm>
              <a:off x="4552950" y="16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279400</xdr:colOff>
      <xdr:row>0</xdr:row>
      <xdr:rowOff>165100</xdr:rowOff>
    </xdr:from>
    <xdr:to>
      <xdr:col>11</xdr:col>
      <xdr:colOff>279400</xdr:colOff>
      <xdr:row>14</xdr:row>
      <xdr:rowOff>111125</xdr:rowOff>
    </xdr:to>
    <mc:AlternateContent xmlns:mc="http://schemas.openxmlformats.org/markup-compatibility/2006" xmlns:a14="http://schemas.microsoft.com/office/drawing/2010/main">
      <mc:Choice Requires="a14">
        <xdr:graphicFrame macro="">
          <xdr:nvGraphicFramePr>
            <xdr:cNvPr id="4" name="Customer_ID">
              <a:extLst>
                <a:ext uri="{FF2B5EF4-FFF2-40B4-BE49-F238E27FC236}">
                  <a16:creationId xmlns:a16="http://schemas.microsoft.com/office/drawing/2014/main" id="{DEC8C1A2-C5A7-1221-AD1D-97EA8B57F7FB}"/>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6502400" y="16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425450</xdr:colOff>
      <xdr:row>0</xdr:row>
      <xdr:rowOff>171450</xdr:rowOff>
    </xdr:from>
    <xdr:to>
      <xdr:col>14</xdr:col>
      <xdr:colOff>425450</xdr:colOff>
      <xdr:row>14</xdr:row>
      <xdr:rowOff>117475</xdr:rowOff>
    </xdr:to>
    <mc:AlternateContent xmlns:mc="http://schemas.openxmlformats.org/markup-compatibility/2006" xmlns:a14="http://schemas.microsoft.com/office/drawing/2010/main">
      <mc:Choice Requires="a14">
        <xdr:graphicFrame macro="">
          <xdr:nvGraphicFramePr>
            <xdr:cNvPr id="5" name="Over_Due_Amount">
              <a:extLst>
                <a:ext uri="{FF2B5EF4-FFF2-40B4-BE49-F238E27FC236}">
                  <a16:creationId xmlns:a16="http://schemas.microsoft.com/office/drawing/2014/main" id="{F834DB94-2622-3DD1-573F-42F10F91B5BA}"/>
                </a:ext>
              </a:extLst>
            </xdr:cNvPr>
            <xdr:cNvGraphicFramePr/>
          </xdr:nvGraphicFramePr>
          <xdr:xfrm>
            <a:off x="0" y="0"/>
            <a:ext cx="0" cy="0"/>
          </xdr:xfrm>
          <a:graphic>
            <a:graphicData uri="http://schemas.microsoft.com/office/drawing/2010/slicer">
              <sle:slicer xmlns:sle="http://schemas.microsoft.com/office/drawing/2010/slicer" name="Over_Due_Amount"/>
            </a:graphicData>
          </a:graphic>
        </xdr:graphicFrame>
      </mc:Choice>
      <mc:Fallback xmlns="">
        <xdr:sp macro="" textlink="">
          <xdr:nvSpPr>
            <xdr:cNvPr id="0" name=""/>
            <xdr:cNvSpPr>
              <a:spLocks noTextEdit="1"/>
            </xdr:cNvSpPr>
          </xdr:nvSpPr>
          <xdr:spPr>
            <a:xfrm>
              <a:off x="8477250"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15</xdr:row>
      <xdr:rowOff>73025</xdr:rowOff>
    </xdr:from>
    <xdr:to>
      <xdr:col>9</xdr:col>
      <xdr:colOff>381000</xdr:colOff>
      <xdr:row>30</xdr:row>
      <xdr:rowOff>53975</xdr:rowOff>
    </xdr:to>
    <xdr:graphicFrame macro="">
      <xdr:nvGraphicFramePr>
        <xdr:cNvPr id="6" name="Chart 5">
          <a:extLst>
            <a:ext uri="{FF2B5EF4-FFF2-40B4-BE49-F238E27FC236}">
              <a16:creationId xmlns:a16="http://schemas.microsoft.com/office/drawing/2014/main" id="{83D39598-BD23-418E-3944-EE60FEA14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7.970826851852" createdVersion="8" refreshedVersion="8" minRefreshableVersion="3" recordCount="27" xr:uid="{8EA03994-8030-4637-B91A-F9ED124BD4D8}">
  <cacheSource type="worksheet">
    <worksheetSource ref="A1:H28" sheet="Leases"/>
  </cacheSource>
  <cacheFields count="8">
    <cacheField name="Over_Due" numFmtId="0">
      <sharedItems count="2">
        <s v="Active"/>
        <s v="Over Due"/>
      </sharedItems>
    </cacheField>
    <cacheField name="Lease_ID" numFmtId="0">
      <sharedItems count="27">
        <s v="1"/>
        <s v="2"/>
        <s v="3"/>
        <s v="4"/>
        <s v="5"/>
        <s v="6"/>
        <s v="7"/>
        <s v="8"/>
        <s v="9"/>
        <s v="10"/>
        <s v="11"/>
        <s v="12"/>
        <s v="13"/>
        <s v="14"/>
        <s v="15"/>
        <s v="16"/>
        <s v="17"/>
        <s v="18"/>
        <s v="19"/>
        <s v="20"/>
        <s v="21"/>
        <s v="22"/>
        <s v="23"/>
        <s v="24"/>
        <s v="25"/>
        <s v="26"/>
        <s v="27"/>
      </sharedItems>
    </cacheField>
    <cacheField name="Customer_ID" numFmtId="0">
      <sharedItems count="23">
        <s v="9"/>
        <s v="27"/>
        <s v="41"/>
        <s v="39"/>
        <s v="16"/>
        <s v="44"/>
        <s v="21"/>
        <s v="4"/>
        <s v="50"/>
        <s v="10"/>
        <s v="36"/>
        <s v="25"/>
        <s v="6"/>
        <s v="32"/>
        <s v="11"/>
        <s v="3"/>
        <s v="26"/>
        <s v="18"/>
        <s v="48"/>
        <s v="5"/>
        <s v="45"/>
        <s v="49"/>
        <s v="1"/>
      </sharedItems>
    </cacheField>
    <cacheField name="VIN" numFmtId="0">
      <sharedItems/>
    </cacheField>
    <cacheField name="Start_Date" numFmtId="0">
      <sharedItems/>
    </cacheField>
    <cacheField name="End_Date" numFmtId="0">
      <sharedItems/>
    </cacheField>
    <cacheField name="Monthly_Rate" numFmtId="164">
      <sharedItems count="27">
        <s v="619.00"/>
        <s v="612.05"/>
        <s v="776.65"/>
        <s v="1063.34"/>
        <s v="790.95"/>
        <s v="995.16"/>
        <s v="1188.43"/>
        <s v="320.03"/>
        <s v="440.92"/>
        <s v="890.42"/>
        <s v="929.00"/>
        <s v="843.14"/>
        <s v="1001.06"/>
        <s v="1182.29"/>
        <s v="568.57"/>
        <s v="1036.35"/>
        <s v="317.39"/>
        <s v="759.06"/>
        <s v="942.77"/>
        <s v="305.63"/>
        <s v="1040.57"/>
        <s v="434.07"/>
        <s v="403.93"/>
        <s v="1009.69"/>
        <s v="561.99"/>
        <s v="761.94"/>
        <s v="459.64"/>
      </sharedItems>
    </cacheField>
    <cacheField name="Over_Due_Amount" numFmtId="164">
      <sharedItems containsSemiMixedTypes="0" containsString="0" containsNumber="1" minValue="0" maxValue="8683.9433333333327" count="4">
        <n v="0"/>
        <n v="8683.9433333333327"/>
        <n v="1280.1199999999999"/>
        <n v="896.53733333333344"/>
      </sharedItems>
    </cacheField>
  </cacheFields>
  <extLst>
    <ext xmlns:x14="http://schemas.microsoft.com/office/spreadsheetml/2009/9/main" uri="{725AE2AE-9491-48be-B2B4-4EB974FC3084}">
      <x14:pivotCacheDefinition pivotCacheId="1064881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s v="9B2C7980-6927-44C"/>
    <s v="2026-01-15"/>
    <s v="2028-01-15"/>
    <x v="0"/>
    <x v="0"/>
  </r>
  <r>
    <x v="0"/>
    <x v="1"/>
    <x v="1"/>
    <s v="141D851C-1EFA-46E"/>
    <s v="2025-06-20"/>
    <s v="2027-09-20"/>
    <x v="1"/>
    <x v="0"/>
  </r>
  <r>
    <x v="0"/>
    <x v="2"/>
    <x v="2"/>
    <s v="4FDA6833-E127-4F3"/>
    <s v="2025-09-24"/>
    <s v="2026-10-24"/>
    <x v="2"/>
    <x v="0"/>
  </r>
  <r>
    <x v="1"/>
    <x v="3"/>
    <x v="3"/>
    <s v="0DDD9F5F-6428-40D"/>
    <s v="2025-05-18"/>
    <s v="2026-01-18"/>
    <x v="3"/>
    <x v="1"/>
  </r>
  <r>
    <x v="0"/>
    <x v="4"/>
    <x v="4"/>
    <s v="AA2C253D-D5D5-47C"/>
    <s v="2025-10-07"/>
    <s v="2026-09-07"/>
    <x v="4"/>
    <x v="0"/>
  </r>
  <r>
    <x v="0"/>
    <x v="5"/>
    <x v="5"/>
    <s v="54B91DF9-74F2-4E4"/>
    <s v="2025-12-24"/>
    <s v="2026-07-24"/>
    <x v="5"/>
    <x v="0"/>
  </r>
  <r>
    <x v="0"/>
    <x v="6"/>
    <x v="6"/>
    <s v="E1BC1DEE-B2A3-42A"/>
    <s v="2025-12-01"/>
    <s v="2027-01-01"/>
    <x v="6"/>
    <x v="0"/>
  </r>
  <r>
    <x v="1"/>
    <x v="7"/>
    <x v="7"/>
    <s v="9F4D9A51-1852-465"/>
    <s v="2025-02-06"/>
    <s v="2025-06-06"/>
    <x v="7"/>
    <x v="2"/>
  </r>
  <r>
    <x v="1"/>
    <x v="8"/>
    <x v="8"/>
    <s v="780FDCB1-C354-429"/>
    <s v="2025-10-10"/>
    <s v="2025-12-10"/>
    <x v="8"/>
    <x v="3"/>
  </r>
  <r>
    <x v="0"/>
    <x v="9"/>
    <x v="9"/>
    <s v="A7E210EC-D5F1-4F5"/>
    <s v="2025-03-16"/>
    <s v="2027-04-16"/>
    <x v="9"/>
    <x v="0"/>
  </r>
  <r>
    <x v="0"/>
    <x v="10"/>
    <x v="10"/>
    <s v="5FE4E90A-BEF8-4E0"/>
    <s v="2025-08-16"/>
    <s v="2026-07-16"/>
    <x v="10"/>
    <x v="0"/>
  </r>
  <r>
    <x v="0"/>
    <x v="11"/>
    <x v="11"/>
    <s v="D864A070-5843-405"/>
    <s v="2025-11-19"/>
    <s v="2026-03-19"/>
    <x v="11"/>
    <x v="0"/>
  </r>
  <r>
    <x v="0"/>
    <x v="12"/>
    <x v="12"/>
    <s v="48004189-BA92-4BC"/>
    <s v="2025-07-16"/>
    <s v="2028-01-16"/>
    <x v="12"/>
    <x v="0"/>
  </r>
  <r>
    <x v="0"/>
    <x v="13"/>
    <x v="13"/>
    <s v="8A729EBE-19B5-474"/>
    <s v="2025-08-27"/>
    <s v="2026-02-27"/>
    <x v="13"/>
    <x v="0"/>
  </r>
  <r>
    <x v="0"/>
    <x v="14"/>
    <x v="14"/>
    <s v="357FB530-C950-4B4"/>
    <s v="2025-09-21"/>
    <s v="2027-07-21"/>
    <x v="14"/>
    <x v="0"/>
  </r>
  <r>
    <x v="0"/>
    <x v="15"/>
    <x v="11"/>
    <s v="00880E31-CD5C-475"/>
    <s v="2025-07-31"/>
    <s v="2026-01-31"/>
    <x v="15"/>
    <x v="0"/>
  </r>
  <r>
    <x v="0"/>
    <x v="16"/>
    <x v="15"/>
    <s v="7A315AAF-20AA-4F8"/>
    <s v="2025-04-10"/>
    <s v="2027-08-10"/>
    <x v="16"/>
    <x v="0"/>
  </r>
  <r>
    <x v="0"/>
    <x v="17"/>
    <x v="16"/>
    <s v="C4E5256C-0747-4BC"/>
    <s v="2026-01-08"/>
    <s v="2029-01-08"/>
    <x v="17"/>
    <x v="0"/>
  </r>
  <r>
    <x v="0"/>
    <x v="18"/>
    <x v="17"/>
    <s v="76DF083C-4B73-47F"/>
    <s v="2025-12-16"/>
    <s v="2027-11-16"/>
    <x v="18"/>
    <x v="0"/>
  </r>
  <r>
    <x v="0"/>
    <x v="19"/>
    <x v="18"/>
    <s v="F6C7E6B4-FD72-41A"/>
    <s v="2026-01-22"/>
    <s v="2027-06-22"/>
    <x v="19"/>
    <x v="0"/>
  </r>
  <r>
    <x v="0"/>
    <x v="20"/>
    <x v="7"/>
    <s v="4AB3E008-8E64-415"/>
    <s v="2025-05-16"/>
    <s v="2026-12-16"/>
    <x v="20"/>
    <x v="0"/>
  </r>
  <r>
    <x v="0"/>
    <x v="21"/>
    <x v="19"/>
    <s v="C9252459-709B-451"/>
    <s v="2025-10-19"/>
    <s v="2026-05-19"/>
    <x v="21"/>
    <x v="0"/>
  </r>
  <r>
    <x v="0"/>
    <x v="22"/>
    <x v="6"/>
    <s v="EF497552-518A-4CF"/>
    <s v="2025-05-11"/>
    <s v="2026-07-11"/>
    <x v="22"/>
    <x v="0"/>
  </r>
  <r>
    <x v="0"/>
    <x v="23"/>
    <x v="4"/>
    <s v="63F93C85-497E-493"/>
    <s v="2025-10-15"/>
    <s v="2028-05-15"/>
    <x v="23"/>
    <x v="0"/>
  </r>
  <r>
    <x v="0"/>
    <x v="24"/>
    <x v="20"/>
    <s v="C54A76A1-CEB9-481"/>
    <s v="2025-12-15"/>
    <s v="2028-07-15"/>
    <x v="24"/>
    <x v="0"/>
  </r>
  <r>
    <x v="0"/>
    <x v="25"/>
    <x v="21"/>
    <s v="731E60B9-99B6-414"/>
    <s v="2025-05-26"/>
    <s v="2028-04-26"/>
    <x v="25"/>
    <x v="0"/>
  </r>
  <r>
    <x v="0"/>
    <x v="26"/>
    <x v="22"/>
    <s v="8A371236-7CC3-406"/>
    <s v="2026-02-04"/>
    <s v="2028-05-04"/>
    <x v="2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3B438D-311C-4254-ADD6-26E0E9203F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8">
    <pivotField axis="axisRow" showAll="0">
      <items count="3">
        <item h="1" x="0"/>
        <item x="1"/>
        <item t="default"/>
      </items>
    </pivotField>
    <pivotField showAll="0">
      <items count="28">
        <item x="0"/>
        <item x="9"/>
        <item x="10"/>
        <item x="11"/>
        <item x="12"/>
        <item x="13"/>
        <item x="14"/>
        <item x="15"/>
        <item x="16"/>
        <item x="17"/>
        <item x="18"/>
        <item x="1"/>
        <item x="19"/>
        <item x="20"/>
        <item x="21"/>
        <item x="22"/>
        <item x="23"/>
        <item x="24"/>
        <item x="25"/>
        <item x="26"/>
        <item x="2"/>
        <item x="3"/>
        <item x="4"/>
        <item x="5"/>
        <item x="6"/>
        <item x="7"/>
        <item x="8"/>
        <item t="default"/>
      </items>
    </pivotField>
    <pivotField axis="axisRow" showAll="0">
      <items count="24">
        <item x="22"/>
        <item x="9"/>
        <item x="14"/>
        <item x="4"/>
        <item x="17"/>
        <item x="6"/>
        <item x="11"/>
        <item x="16"/>
        <item x="1"/>
        <item x="15"/>
        <item x="13"/>
        <item x="10"/>
        <item x="3"/>
        <item x="7"/>
        <item x="2"/>
        <item x="5"/>
        <item x="20"/>
        <item x="18"/>
        <item x="21"/>
        <item x="19"/>
        <item x="8"/>
        <item x="12"/>
        <item x="0"/>
        <item t="default"/>
      </items>
    </pivotField>
    <pivotField showAll="0"/>
    <pivotField showAll="0"/>
    <pivotField showAll="0"/>
    <pivotField axis="axisRow" showAll="0">
      <items count="28">
        <item x="12"/>
        <item x="23"/>
        <item x="15"/>
        <item x="20"/>
        <item x="3"/>
        <item x="13"/>
        <item x="6"/>
        <item x="19"/>
        <item x="16"/>
        <item x="7"/>
        <item x="22"/>
        <item x="21"/>
        <item x="8"/>
        <item x="26"/>
        <item x="24"/>
        <item x="14"/>
        <item x="1"/>
        <item x="0"/>
        <item x="17"/>
        <item x="25"/>
        <item x="2"/>
        <item x="4"/>
        <item x="11"/>
        <item x="9"/>
        <item x="10"/>
        <item x="18"/>
        <item x="5"/>
        <item t="default"/>
      </items>
    </pivotField>
    <pivotField dataField="1" numFmtId="164" showAll="0">
      <items count="5">
        <item x="0"/>
        <item x="3"/>
        <item x="2"/>
        <item x="1"/>
        <item t="default"/>
      </items>
    </pivotField>
  </pivotFields>
  <rowFields count="3">
    <field x="0"/>
    <field x="2"/>
    <field x="6"/>
  </rowFields>
  <rowItems count="8">
    <i>
      <x v="1"/>
    </i>
    <i r="1">
      <x v="12"/>
    </i>
    <i r="2">
      <x v="4"/>
    </i>
    <i r="1">
      <x v="13"/>
    </i>
    <i r="2">
      <x v="9"/>
    </i>
    <i r="1">
      <x v="20"/>
    </i>
    <i r="2">
      <x v="12"/>
    </i>
    <i t="grand">
      <x/>
    </i>
  </rowItems>
  <colItems count="1">
    <i/>
  </colItems>
  <dataFields count="1">
    <dataField name="Sum of Over_Due_Amount" fld="7"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Due" xr10:uid="{838768D2-F86F-4A0F-B476-F8D1BF6C86AC}" sourceName="Over_Due">
  <pivotTables>
    <pivotTable tabId="6" name="PivotTable1"/>
  </pivotTables>
  <data>
    <tabular pivotCacheId="106488131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se_ID" xr10:uid="{4F8A0D1C-336D-49BD-BAE5-852911D0B2E8}" sourceName="Lease_ID">
  <pivotTables>
    <pivotTable tabId="6" name="PivotTable1"/>
  </pivotTables>
  <data>
    <tabular pivotCacheId="1064881318">
      <items count="27">
        <i x="3" s="1"/>
        <i x="7" s="1"/>
        <i x="8" s="1"/>
        <i x="0" s="1" nd="1"/>
        <i x="9" s="1" nd="1"/>
        <i x="10" s="1" nd="1"/>
        <i x="11" s="1" nd="1"/>
        <i x="12" s="1" nd="1"/>
        <i x="13" s="1" nd="1"/>
        <i x="14" s="1" nd="1"/>
        <i x="15" s="1" nd="1"/>
        <i x="16" s="1" nd="1"/>
        <i x="17" s="1" nd="1"/>
        <i x="18" s="1" nd="1"/>
        <i x="1" s="1" nd="1"/>
        <i x="19" s="1" nd="1"/>
        <i x="20" s="1" nd="1"/>
        <i x="21" s="1" nd="1"/>
        <i x="22" s="1" nd="1"/>
        <i x="23" s="1" nd="1"/>
        <i x="24" s="1" nd="1"/>
        <i x="25" s="1" nd="1"/>
        <i x="26" s="1" nd="1"/>
        <i x="2" s="1" nd="1"/>
        <i x="4" s="1" nd="1"/>
        <i x="5"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A1F7D5EB-7F82-4F3C-AD40-B2815C8AC33F}" sourceName="Customer_ID">
  <pivotTables>
    <pivotTable tabId="6" name="PivotTable1"/>
  </pivotTables>
  <data>
    <tabular pivotCacheId="1064881318">
      <items count="23">
        <i x="3" s="1"/>
        <i x="7" s="1"/>
        <i x="8" s="1"/>
        <i x="22" s="1" nd="1"/>
        <i x="9" s="1" nd="1"/>
        <i x="14" s="1" nd="1"/>
        <i x="4" s="1" nd="1"/>
        <i x="17" s="1" nd="1"/>
        <i x="6" s="1" nd="1"/>
        <i x="11" s="1" nd="1"/>
        <i x="16" s="1" nd="1"/>
        <i x="1" s="1" nd="1"/>
        <i x="15" s="1" nd="1"/>
        <i x="13" s="1" nd="1"/>
        <i x="10" s="1" nd="1"/>
        <i x="2" s="1" nd="1"/>
        <i x="5" s="1" nd="1"/>
        <i x="20" s="1" nd="1"/>
        <i x="18" s="1" nd="1"/>
        <i x="21" s="1" nd="1"/>
        <i x="19" s="1" nd="1"/>
        <i x="12"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Due_Amount" xr10:uid="{4384EF45-41CC-450B-83E9-BDB6B9126333}" sourceName="Over_Due_Amount">
  <pivotTables>
    <pivotTable tabId="6" name="PivotTable1"/>
  </pivotTables>
  <data>
    <tabular pivotCacheId="1064881318">
      <items count="4">
        <i x="3" s="1"/>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_Due" xr10:uid="{FACFDC9C-0823-4ECF-831F-B7722D87F6A1}" cache="Slicer_Over_Due" caption="Over_Due" rowHeight="241300"/>
  <slicer name="Lease_ID" xr10:uid="{66726035-8064-4306-B209-529A1F13410C}" cache="Slicer_Lease_ID" caption="Lease_ID" rowHeight="241300"/>
  <slicer name="Customer_ID" xr10:uid="{87338004-0A03-41FE-AC08-E39F3E4953A5}" cache="Slicer_Customer_ID" caption="Customer_ID" rowHeight="241300"/>
  <slicer name="Over_Due_Amount" xr10:uid="{FE91C776-91E3-47D5-B64B-C4EE14F8544D}" cache="Slicer_Over_Due_Amount" caption="Over_Due_Amou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AAB2A1-D099-4A17-908D-FAEE26BEBA9F}" name="Table6" displayName="Table6" ref="A1:D56" totalsRowShown="0">
  <autoFilter ref="A1:D56" xr:uid="{FBAAB2A1-D099-4A17-908D-FAEE26BEBA9F}"/>
  <tableColumns count="4">
    <tableColumn id="1" xr3:uid="{4235ABEB-0BCF-4A19-A8BE-666D2C58D514}" name="Customer_ID"/>
    <tableColumn id="2" xr3:uid="{243DA45D-70CF-4628-BF48-F8DDCF6496D6}" name="Name"/>
    <tableColumn id="3" xr3:uid="{FB3E4460-BFA5-4B53-B8CF-8902674DD155}" name="Email"/>
    <tableColumn id="4" xr3:uid="{4BCF253C-3DB6-4615-B978-C1ABD9DD8043}" name="Credit_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1D478-07FF-4AF1-8BA4-33778222D20C}" name="Table1" displayName="Table1" ref="B1:H28" totalsRowShown="0">
  <autoFilter ref="B1:H28" xr:uid="{2E81D478-07FF-4AF1-8BA4-33778222D20C}"/>
  <tableColumns count="7">
    <tableColumn id="1" xr3:uid="{BCC93A1B-A9A6-4A5A-8043-03E1C496507C}" name="Lease_ID"/>
    <tableColumn id="2" xr3:uid="{53E18502-CE27-4FEF-8166-3DBD85777E68}" name="Customer_ID"/>
    <tableColumn id="3" xr3:uid="{30E72F69-43F7-4C6D-9376-7D4F071F044E}" name="VIN"/>
    <tableColumn id="4" xr3:uid="{AA2313F9-D7B0-4DEB-A2F7-D3BC8ADC4A30}" name="Start_Date"/>
    <tableColumn id="5" xr3:uid="{122DB0D0-34AD-46DD-A47A-7EE30B0C7EA8}" name="End_Date"/>
    <tableColumn id="6" xr3:uid="{247C40C2-C9E2-43FC-B54C-C7426C129057}" name="Monthly_Rate" dataDxfId="2"/>
    <tableColumn id="7" xr3:uid="{F6412BC1-972D-4826-9F27-64B73B09AE1A}" name="Over_Due_Amount" dataDxfId="1">
      <calculatedColumnFormula>IF(A2="Over Due",DATEDIF(E2, F2, "d")*(G2/30),0)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FEAE55-B9AF-4E02-BDD2-057C8E7DBC7D}" name="Table9" displayName="Table9" ref="A1:A28" totalsRowShown="0">
  <autoFilter ref="A1:A28" xr:uid="{DDFEAE55-B9AF-4E02-BDD2-057C8E7DBC7D}"/>
  <tableColumns count="1">
    <tableColumn id="1" xr3:uid="{EE82C1CF-D7ED-4A15-BA69-21DEB8F76072}" name="Over_Due">
      <calculatedColumnFormula>IF((TODAY()-F2)&gt;5,"Over Due","Active")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A578C9-8E32-4975-A14B-7FD35FBCB44A}" name="Table7" displayName="Table7" ref="A1:E2" totalsRowShown="0">
  <autoFilter ref="A1:E2" xr:uid="{83A578C9-8E32-4975-A14B-7FD35FBCB44A}"/>
  <tableColumns count="5">
    <tableColumn id="1" xr3:uid="{F7E71B40-2AA1-40D1-B6F4-CB5D20EF7EAF}" name="Payment_ID"/>
    <tableColumn id="2" xr3:uid="{B4EC632F-A935-403C-AFA1-81065B506B78}" name="Lease_ID"/>
    <tableColumn id="3" xr3:uid="{06C45DFC-5E66-4AFF-A72A-F181E9747C3C}" name="Amount_Due" dataDxfId="0"/>
    <tableColumn id="4" xr3:uid="{73909297-AAF8-4882-8FF7-BC881022145B}" name="Due_Date"/>
    <tableColumn id="5" xr3:uid="{A1964FDF-F064-449D-8E33-C4A630A8433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2E9CB6-C29C-44DD-BD45-B9DAF83D1AC1}" name="Table8" displayName="Table8" ref="A1:D31" totalsRowShown="0">
  <autoFilter ref="A1:D31" xr:uid="{3F2E9CB6-C29C-44DD-BD45-B9DAF83D1AC1}"/>
  <tableColumns count="4">
    <tableColumn id="1" xr3:uid="{B29D501C-352B-41CE-9167-2AAFBB959A9C}" name="VIN"/>
    <tableColumn id="2" xr3:uid="{788611F0-60E7-4F6D-99E3-5B8118FECD96}" name="Make"/>
    <tableColumn id="3" xr3:uid="{21B4C42F-1464-4A0F-923D-AD84857945F1}" name="Model"/>
    <tableColumn id="4" xr3:uid="{F58C5B5E-972F-4B54-A8D2-BEE60211B2EA}"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4B7D-1552-4744-990A-96DE2B0956B5}">
  <dimension ref="A1"/>
  <sheetViews>
    <sheetView workbookViewId="0">
      <selection activeCell="M8" sqref="M8"/>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6"/>
  <sheetViews>
    <sheetView workbookViewId="0">
      <selection sqref="A1:D56"/>
    </sheetView>
  </sheetViews>
  <sheetFormatPr defaultRowHeight="14.5" x14ac:dyDescent="0.35"/>
  <cols>
    <col min="1" max="1" width="13.81640625" customWidth="1"/>
    <col min="2" max="2" width="14.54296875" customWidth="1"/>
    <col min="3" max="3" width="26.1796875" customWidth="1"/>
    <col min="4" max="4" width="13.453125" customWidth="1"/>
  </cols>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23</v>
      </c>
    </row>
    <row r="7" spans="1:4" x14ac:dyDescent="0.35">
      <c r="A7" t="s">
        <v>24</v>
      </c>
      <c r="B7" t="s">
        <v>25</v>
      </c>
      <c r="C7" t="s">
        <v>26</v>
      </c>
      <c r="D7" t="s">
        <v>27</v>
      </c>
    </row>
    <row r="8" spans="1:4" x14ac:dyDescent="0.35">
      <c r="A8" t="s">
        <v>28</v>
      </c>
      <c r="B8" t="s">
        <v>29</v>
      </c>
      <c r="C8" t="s">
        <v>30</v>
      </c>
      <c r="D8" t="s">
        <v>31</v>
      </c>
    </row>
    <row r="9" spans="1:4" x14ac:dyDescent="0.35">
      <c r="A9" t="s">
        <v>32</v>
      </c>
      <c r="B9" t="s">
        <v>33</v>
      </c>
      <c r="C9" t="s">
        <v>34</v>
      </c>
      <c r="D9" t="s">
        <v>35</v>
      </c>
    </row>
    <row r="10" spans="1:4" x14ac:dyDescent="0.35">
      <c r="A10" t="s">
        <v>36</v>
      </c>
      <c r="B10" t="s">
        <v>37</v>
      </c>
      <c r="C10" t="s">
        <v>38</v>
      </c>
      <c r="D10" t="s">
        <v>39</v>
      </c>
    </row>
    <row r="11" spans="1:4" x14ac:dyDescent="0.35">
      <c r="A11" t="s">
        <v>40</v>
      </c>
      <c r="B11" t="s">
        <v>41</v>
      </c>
      <c r="C11" t="s">
        <v>42</v>
      </c>
      <c r="D11" t="s">
        <v>43</v>
      </c>
    </row>
    <row r="12" spans="1:4" x14ac:dyDescent="0.35">
      <c r="A12" t="s">
        <v>44</v>
      </c>
      <c r="B12" t="s">
        <v>45</v>
      </c>
      <c r="C12" t="s">
        <v>46</v>
      </c>
      <c r="D12" t="s">
        <v>47</v>
      </c>
    </row>
    <row r="13" spans="1:4" x14ac:dyDescent="0.35">
      <c r="A13" t="s">
        <v>48</v>
      </c>
      <c r="B13" t="s">
        <v>49</v>
      </c>
      <c r="C13" t="s">
        <v>50</v>
      </c>
      <c r="D13" t="s">
        <v>51</v>
      </c>
    </row>
    <row r="14" spans="1:4" x14ac:dyDescent="0.35">
      <c r="A14" t="s">
        <v>52</v>
      </c>
      <c r="B14" t="s">
        <v>53</v>
      </c>
      <c r="C14" t="s">
        <v>54</v>
      </c>
      <c r="D14" t="s">
        <v>55</v>
      </c>
    </row>
    <row r="15" spans="1:4" x14ac:dyDescent="0.35">
      <c r="A15" t="s">
        <v>56</v>
      </c>
      <c r="B15" t="s">
        <v>57</v>
      </c>
      <c r="C15" t="s">
        <v>58</v>
      </c>
      <c r="D15" t="s">
        <v>59</v>
      </c>
    </row>
    <row r="16" spans="1:4" x14ac:dyDescent="0.35">
      <c r="A16" t="s">
        <v>60</v>
      </c>
      <c r="B16" t="s">
        <v>61</v>
      </c>
      <c r="C16" t="s">
        <v>62</v>
      </c>
      <c r="D16" t="s">
        <v>63</v>
      </c>
    </row>
    <row r="17" spans="1:4" x14ac:dyDescent="0.35">
      <c r="A17" t="s">
        <v>64</v>
      </c>
      <c r="B17" t="s">
        <v>65</v>
      </c>
      <c r="C17" t="s">
        <v>66</v>
      </c>
      <c r="D17" t="s">
        <v>67</v>
      </c>
    </row>
    <row r="18" spans="1:4" x14ac:dyDescent="0.35">
      <c r="A18" t="s">
        <v>68</v>
      </c>
      <c r="B18" t="s">
        <v>69</v>
      </c>
      <c r="C18" t="s">
        <v>70</v>
      </c>
      <c r="D18" t="s">
        <v>71</v>
      </c>
    </row>
    <row r="19" spans="1:4" x14ac:dyDescent="0.35">
      <c r="A19" t="s">
        <v>72</v>
      </c>
      <c r="B19" t="s">
        <v>73</v>
      </c>
      <c r="C19" t="s">
        <v>74</v>
      </c>
      <c r="D19" t="s">
        <v>75</v>
      </c>
    </row>
    <row r="20" spans="1:4" x14ac:dyDescent="0.35">
      <c r="A20" t="s">
        <v>76</v>
      </c>
      <c r="B20" t="s">
        <v>77</v>
      </c>
      <c r="C20" t="s">
        <v>78</v>
      </c>
      <c r="D20" t="s">
        <v>79</v>
      </c>
    </row>
    <row r="21" spans="1:4" x14ac:dyDescent="0.35">
      <c r="A21" t="s">
        <v>80</v>
      </c>
      <c r="B21" t="s">
        <v>81</v>
      </c>
      <c r="C21" t="s">
        <v>82</v>
      </c>
      <c r="D21" t="s">
        <v>83</v>
      </c>
    </row>
    <row r="22" spans="1:4" x14ac:dyDescent="0.35">
      <c r="A22" t="s">
        <v>84</v>
      </c>
      <c r="B22" t="s">
        <v>85</v>
      </c>
      <c r="C22" t="s">
        <v>86</v>
      </c>
      <c r="D22" t="s">
        <v>87</v>
      </c>
    </row>
    <row r="23" spans="1:4" x14ac:dyDescent="0.35">
      <c r="A23" t="s">
        <v>88</v>
      </c>
      <c r="B23" t="s">
        <v>89</v>
      </c>
      <c r="C23" t="s">
        <v>90</v>
      </c>
      <c r="D23" t="s">
        <v>91</v>
      </c>
    </row>
    <row r="24" spans="1:4" x14ac:dyDescent="0.35">
      <c r="A24" t="s">
        <v>92</v>
      </c>
      <c r="B24" t="s">
        <v>93</v>
      </c>
      <c r="C24" t="s">
        <v>94</v>
      </c>
      <c r="D24" t="s">
        <v>95</v>
      </c>
    </row>
    <row r="25" spans="1:4" x14ac:dyDescent="0.35">
      <c r="A25" t="s">
        <v>96</v>
      </c>
      <c r="B25" t="s">
        <v>97</v>
      </c>
      <c r="C25" t="s">
        <v>98</v>
      </c>
      <c r="D25" t="s">
        <v>99</v>
      </c>
    </row>
    <row r="26" spans="1:4" x14ac:dyDescent="0.35">
      <c r="A26" t="s">
        <v>100</v>
      </c>
      <c r="B26" t="s">
        <v>101</v>
      </c>
      <c r="C26" t="s">
        <v>102</v>
      </c>
      <c r="D26" t="s">
        <v>103</v>
      </c>
    </row>
    <row r="27" spans="1:4" x14ac:dyDescent="0.35">
      <c r="A27" t="s">
        <v>104</v>
      </c>
      <c r="B27" t="s">
        <v>105</v>
      </c>
      <c r="C27" t="s">
        <v>106</v>
      </c>
      <c r="D27" t="s">
        <v>107</v>
      </c>
    </row>
    <row r="28" spans="1:4" x14ac:dyDescent="0.35">
      <c r="A28" t="s">
        <v>108</v>
      </c>
      <c r="B28" t="s">
        <v>109</v>
      </c>
      <c r="C28" t="s">
        <v>110</v>
      </c>
      <c r="D28" t="s">
        <v>111</v>
      </c>
    </row>
    <row r="29" spans="1:4" x14ac:dyDescent="0.35">
      <c r="A29" t="s">
        <v>112</v>
      </c>
      <c r="B29" t="s">
        <v>113</v>
      </c>
      <c r="C29" t="s">
        <v>114</v>
      </c>
      <c r="D29" t="s">
        <v>115</v>
      </c>
    </row>
    <row r="30" spans="1:4" x14ac:dyDescent="0.35">
      <c r="A30" t="s">
        <v>116</v>
      </c>
      <c r="B30" t="s">
        <v>117</v>
      </c>
      <c r="C30" t="s">
        <v>118</v>
      </c>
      <c r="D30" t="s">
        <v>19</v>
      </c>
    </row>
    <row r="31" spans="1:4" x14ac:dyDescent="0.35">
      <c r="A31" t="s">
        <v>119</v>
      </c>
      <c r="B31" t="s">
        <v>120</v>
      </c>
      <c r="C31" t="s">
        <v>121</v>
      </c>
      <c r="D31" t="s">
        <v>67</v>
      </c>
    </row>
    <row r="32" spans="1:4" x14ac:dyDescent="0.35">
      <c r="A32" t="s">
        <v>122</v>
      </c>
      <c r="B32" t="s">
        <v>123</v>
      </c>
      <c r="C32" t="s">
        <v>124</v>
      </c>
      <c r="D32" t="s">
        <v>125</v>
      </c>
    </row>
    <row r="33" spans="1:4" x14ac:dyDescent="0.35">
      <c r="A33" t="s">
        <v>126</v>
      </c>
      <c r="B33" t="s">
        <v>127</v>
      </c>
      <c r="C33" t="s">
        <v>128</v>
      </c>
      <c r="D33" t="s">
        <v>129</v>
      </c>
    </row>
    <row r="34" spans="1:4" x14ac:dyDescent="0.35">
      <c r="A34" t="s">
        <v>130</v>
      </c>
      <c r="B34" t="s">
        <v>131</v>
      </c>
      <c r="C34" t="s">
        <v>132</v>
      </c>
      <c r="D34" t="s">
        <v>133</v>
      </c>
    </row>
    <row r="35" spans="1:4" x14ac:dyDescent="0.35">
      <c r="A35" t="s">
        <v>134</v>
      </c>
      <c r="B35" t="s">
        <v>135</v>
      </c>
      <c r="C35" t="s">
        <v>136</v>
      </c>
      <c r="D35" t="s">
        <v>137</v>
      </c>
    </row>
    <row r="36" spans="1:4" x14ac:dyDescent="0.35">
      <c r="A36" t="s">
        <v>138</v>
      </c>
      <c r="B36" t="s">
        <v>139</v>
      </c>
      <c r="C36" t="s">
        <v>140</v>
      </c>
      <c r="D36" t="s">
        <v>141</v>
      </c>
    </row>
    <row r="37" spans="1:4" x14ac:dyDescent="0.35">
      <c r="A37" t="s">
        <v>142</v>
      </c>
      <c r="B37" t="s">
        <v>143</v>
      </c>
      <c r="C37" t="s">
        <v>144</v>
      </c>
      <c r="D37" t="s">
        <v>145</v>
      </c>
    </row>
    <row r="38" spans="1:4" x14ac:dyDescent="0.35">
      <c r="A38" t="s">
        <v>146</v>
      </c>
      <c r="B38" t="s">
        <v>147</v>
      </c>
      <c r="C38" t="s">
        <v>148</v>
      </c>
      <c r="D38" t="s">
        <v>149</v>
      </c>
    </row>
    <row r="39" spans="1:4" x14ac:dyDescent="0.35">
      <c r="A39" t="s">
        <v>150</v>
      </c>
      <c r="B39" t="s">
        <v>151</v>
      </c>
      <c r="C39" t="s">
        <v>152</v>
      </c>
      <c r="D39" t="s">
        <v>153</v>
      </c>
    </row>
    <row r="40" spans="1:4" x14ac:dyDescent="0.35">
      <c r="A40" t="s">
        <v>154</v>
      </c>
      <c r="B40" t="s">
        <v>155</v>
      </c>
      <c r="C40" t="s">
        <v>156</v>
      </c>
      <c r="D40" t="s">
        <v>157</v>
      </c>
    </row>
    <row r="41" spans="1:4" x14ac:dyDescent="0.35">
      <c r="A41" t="s">
        <v>158</v>
      </c>
      <c r="B41" t="s">
        <v>159</v>
      </c>
      <c r="C41" t="s">
        <v>160</v>
      </c>
      <c r="D41" t="s">
        <v>161</v>
      </c>
    </row>
    <row r="42" spans="1:4" x14ac:dyDescent="0.35">
      <c r="A42" t="s">
        <v>162</v>
      </c>
      <c r="B42" t="s">
        <v>163</v>
      </c>
      <c r="C42" t="s">
        <v>164</v>
      </c>
      <c r="D42" t="s">
        <v>165</v>
      </c>
    </row>
    <row r="43" spans="1:4" x14ac:dyDescent="0.35">
      <c r="A43" t="s">
        <v>166</v>
      </c>
      <c r="B43" t="s">
        <v>167</v>
      </c>
      <c r="C43" t="s">
        <v>168</v>
      </c>
      <c r="D43" t="s">
        <v>169</v>
      </c>
    </row>
    <row r="44" spans="1:4" x14ac:dyDescent="0.35">
      <c r="A44" t="s">
        <v>170</v>
      </c>
      <c r="B44" t="s">
        <v>171</v>
      </c>
      <c r="C44" t="s">
        <v>172</v>
      </c>
      <c r="D44" t="s">
        <v>173</v>
      </c>
    </row>
    <row r="45" spans="1:4" x14ac:dyDescent="0.35">
      <c r="A45" t="s">
        <v>174</v>
      </c>
      <c r="B45" t="s">
        <v>175</v>
      </c>
      <c r="C45" t="s">
        <v>176</v>
      </c>
      <c r="D45" t="s">
        <v>177</v>
      </c>
    </row>
    <row r="46" spans="1:4" x14ac:dyDescent="0.35">
      <c r="A46" t="s">
        <v>178</v>
      </c>
      <c r="B46" t="s">
        <v>179</v>
      </c>
      <c r="C46" t="s">
        <v>180</v>
      </c>
      <c r="D46" t="s">
        <v>181</v>
      </c>
    </row>
    <row r="47" spans="1:4" x14ac:dyDescent="0.35">
      <c r="A47" t="s">
        <v>182</v>
      </c>
      <c r="B47" t="s">
        <v>183</v>
      </c>
      <c r="C47" t="s">
        <v>184</v>
      </c>
      <c r="D47" t="s">
        <v>185</v>
      </c>
    </row>
    <row r="48" spans="1:4" x14ac:dyDescent="0.35">
      <c r="A48" t="s">
        <v>186</v>
      </c>
      <c r="B48" t="s">
        <v>187</v>
      </c>
      <c r="C48" t="s">
        <v>188</v>
      </c>
      <c r="D48" t="s">
        <v>189</v>
      </c>
    </row>
    <row r="49" spans="1:4" x14ac:dyDescent="0.35">
      <c r="A49" t="s">
        <v>190</v>
      </c>
      <c r="B49" t="s">
        <v>191</v>
      </c>
      <c r="C49" t="s">
        <v>192</v>
      </c>
      <c r="D49" t="s">
        <v>193</v>
      </c>
    </row>
    <row r="50" spans="1:4" x14ac:dyDescent="0.35">
      <c r="A50" t="s">
        <v>194</v>
      </c>
      <c r="B50" t="s">
        <v>195</v>
      </c>
      <c r="C50" t="s">
        <v>196</v>
      </c>
      <c r="D50" t="s">
        <v>197</v>
      </c>
    </row>
    <row r="51" spans="1:4" x14ac:dyDescent="0.35">
      <c r="A51" t="s">
        <v>198</v>
      </c>
      <c r="B51" t="s">
        <v>199</v>
      </c>
      <c r="C51" t="s">
        <v>200</v>
      </c>
      <c r="D51" t="s">
        <v>201</v>
      </c>
    </row>
    <row r="52" spans="1:4" x14ac:dyDescent="0.35">
      <c r="A52" t="s">
        <v>202</v>
      </c>
      <c r="B52" t="s">
        <v>203</v>
      </c>
      <c r="C52" t="s">
        <v>204</v>
      </c>
      <c r="D52" t="s">
        <v>205</v>
      </c>
    </row>
    <row r="53" spans="1:4" x14ac:dyDescent="0.35">
      <c r="A53" t="s">
        <v>206</v>
      </c>
      <c r="B53" t="s">
        <v>207</v>
      </c>
      <c r="C53" t="s">
        <v>208</v>
      </c>
      <c r="D53" t="s">
        <v>209</v>
      </c>
    </row>
    <row r="54" spans="1:4" x14ac:dyDescent="0.35">
      <c r="A54" t="s">
        <v>210</v>
      </c>
      <c r="B54" t="s">
        <v>211</v>
      </c>
      <c r="C54" t="s">
        <v>212</v>
      </c>
      <c r="D54" t="s">
        <v>213</v>
      </c>
    </row>
    <row r="55" spans="1:4" x14ac:dyDescent="0.35">
      <c r="A55" t="s">
        <v>214</v>
      </c>
      <c r="B55" t="s">
        <v>215</v>
      </c>
      <c r="C55" t="s">
        <v>216</v>
      </c>
      <c r="D55" t="s">
        <v>217</v>
      </c>
    </row>
    <row r="56" spans="1:4" x14ac:dyDescent="0.35">
      <c r="A56" t="s">
        <v>218</v>
      </c>
      <c r="B56" t="s">
        <v>219</v>
      </c>
      <c r="C56" t="s">
        <v>220</v>
      </c>
      <c r="D56" t="s">
        <v>221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5EDD-4767-4156-9A9C-12B02AA44343}">
  <dimension ref="A3:B11"/>
  <sheetViews>
    <sheetView tabSelected="1" topLeftCell="A14" workbookViewId="0">
      <selection activeCell="B7" sqref="B7"/>
    </sheetView>
  </sheetViews>
  <sheetFormatPr defaultRowHeight="14.5" x14ac:dyDescent="0.35"/>
  <cols>
    <col min="1" max="1" width="13.1796875" bestFit="1" customWidth="1"/>
    <col min="2" max="2" width="23.54296875" bestFit="1" customWidth="1"/>
  </cols>
  <sheetData>
    <row r="3" spans="1:2" x14ac:dyDescent="0.35">
      <c r="A3" s="3" t="s">
        <v>358</v>
      </c>
      <c r="B3" t="s">
        <v>361</v>
      </c>
    </row>
    <row r="4" spans="1:2" x14ac:dyDescent="0.35">
      <c r="A4" s="4" t="s">
        <v>359</v>
      </c>
      <c r="B4" s="2">
        <v>10860.600666666665</v>
      </c>
    </row>
    <row r="5" spans="1:2" x14ac:dyDescent="0.35">
      <c r="A5" s="5" t="s">
        <v>154</v>
      </c>
      <c r="B5" s="2">
        <v>8683.9433333333327</v>
      </c>
    </row>
    <row r="6" spans="1:2" x14ac:dyDescent="0.35">
      <c r="A6" s="6" t="s">
        <v>242</v>
      </c>
      <c r="B6" s="2">
        <v>8683.9433333333327</v>
      </c>
    </row>
    <row r="7" spans="1:2" x14ac:dyDescent="0.35">
      <c r="A7" s="5" t="s">
        <v>16</v>
      </c>
      <c r="B7" s="2">
        <v>1280.1199999999999</v>
      </c>
    </row>
    <row r="8" spans="1:2" x14ac:dyDescent="0.35">
      <c r="A8" s="6" t="s">
        <v>258</v>
      </c>
      <c r="B8" s="2">
        <v>1280.1199999999999</v>
      </c>
    </row>
    <row r="9" spans="1:2" x14ac:dyDescent="0.35">
      <c r="A9" s="5" t="s">
        <v>198</v>
      </c>
      <c r="B9" s="2">
        <v>896.53733333333344</v>
      </c>
    </row>
    <row r="10" spans="1:2" x14ac:dyDescent="0.35">
      <c r="A10" s="6" t="s">
        <v>262</v>
      </c>
      <c r="B10" s="2">
        <v>896.53733333333344</v>
      </c>
    </row>
    <row r="11" spans="1:2" x14ac:dyDescent="0.35">
      <c r="A11" s="4" t="s">
        <v>360</v>
      </c>
      <c r="B11" s="2">
        <v>10860.600666666665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selection activeCell="A7" sqref="A7"/>
    </sheetView>
  </sheetViews>
  <sheetFormatPr defaultRowHeight="14.5" x14ac:dyDescent="0.35"/>
  <cols>
    <col min="1" max="1" width="11.1796875" customWidth="1"/>
    <col min="2" max="2" width="10.26953125" customWidth="1"/>
    <col min="3" max="3" width="13.81640625" customWidth="1"/>
    <col min="4" max="4" width="20.36328125" customWidth="1"/>
    <col min="5" max="5" width="14.26953125" customWidth="1"/>
    <col min="6" max="6" width="15.81640625" customWidth="1"/>
    <col min="7" max="7" width="14.7265625" customWidth="1"/>
    <col min="8" max="8" width="19" customWidth="1"/>
    <col min="10" max="10" width="16.54296875" customWidth="1"/>
    <col min="11" max="11" width="15.54296875" customWidth="1"/>
  </cols>
  <sheetData>
    <row r="1" spans="1:10" x14ac:dyDescent="0.35">
      <c r="A1" t="s">
        <v>356</v>
      </c>
      <c r="B1" t="s">
        <v>222</v>
      </c>
      <c r="C1" t="s">
        <v>0</v>
      </c>
      <c r="D1" t="s">
        <v>223</v>
      </c>
      <c r="E1" t="s">
        <v>224</v>
      </c>
      <c r="F1" t="s">
        <v>225</v>
      </c>
      <c r="G1" t="s">
        <v>226</v>
      </c>
      <c r="H1" t="s">
        <v>357</v>
      </c>
    </row>
    <row r="2" spans="1:10" x14ac:dyDescent="0.35">
      <c r="A2" t="str">
        <f t="shared" ref="A2:A28" ca="1" si="0">IF((TODAY()-F2)&gt;5,"Over Due","Active")</f>
        <v>Active</v>
      </c>
      <c r="B2" t="s">
        <v>4</v>
      </c>
      <c r="C2" t="s">
        <v>36</v>
      </c>
      <c r="D2" t="s">
        <v>227</v>
      </c>
      <c r="E2" t="s">
        <v>228</v>
      </c>
      <c r="F2" t="s">
        <v>229</v>
      </c>
      <c r="G2" s="2" t="s">
        <v>230</v>
      </c>
      <c r="H2" s="2">
        <f t="shared" ref="H2:H28" ca="1" si="1">IF(A2="Over Due",DATEDIF(E2, F2, "d")*(G2/30),0)</f>
        <v>0</v>
      </c>
    </row>
    <row r="3" spans="1:10" x14ac:dyDescent="0.35">
      <c r="A3" t="str">
        <f t="shared" ca="1" si="0"/>
        <v>Active</v>
      </c>
      <c r="B3" t="s">
        <v>8</v>
      </c>
      <c r="C3" t="s">
        <v>108</v>
      </c>
      <c r="D3" t="s">
        <v>231</v>
      </c>
      <c r="E3" t="s">
        <v>232</v>
      </c>
      <c r="F3" t="s">
        <v>233</v>
      </c>
      <c r="G3" s="2" t="s">
        <v>234</v>
      </c>
      <c r="H3" s="2">
        <f t="shared" ca="1" si="1"/>
        <v>0</v>
      </c>
    </row>
    <row r="4" spans="1:10" x14ac:dyDescent="0.35">
      <c r="A4" t="str">
        <f t="shared" ca="1" si="0"/>
        <v>Active</v>
      </c>
      <c r="B4" t="s">
        <v>12</v>
      </c>
      <c r="C4" t="s">
        <v>162</v>
      </c>
      <c r="D4" t="s">
        <v>235</v>
      </c>
      <c r="E4" t="s">
        <v>236</v>
      </c>
      <c r="F4" t="s">
        <v>237</v>
      </c>
      <c r="G4" s="2" t="s">
        <v>238</v>
      </c>
      <c r="H4" s="2">
        <f t="shared" ca="1" si="1"/>
        <v>0</v>
      </c>
    </row>
    <row r="5" spans="1:10" x14ac:dyDescent="0.35">
      <c r="A5" t="str">
        <f t="shared" ca="1" si="0"/>
        <v>Over Due</v>
      </c>
      <c r="B5" t="s">
        <v>16</v>
      </c>
      <c r="C5" t="s">
        <v>154</v>
      </c>
      <c r="D5" t="s">
        <v>239</v>
      </c>
      <c r="E5" t="s">
        <v>240</v>
      </c>
      <c r="F5" t="s">
        <v>241</v>
      </c>
      <c r="G5" s="2" t="s">
        <v>242</v>
      </c>
      <c r="H5" s="2">
        <f t="shared" ca="1" si="1"/>
        <v>8683.9433333333327</v>
      </c>
      <c r="J5" s="1"/>
    </row>
    <row r="6" spans="1:10" x14ac:dyDescent="0.35">
      <c r="A6" t="str">
        <f t="shared" ca="1" si="0"/>
        <v>Active</v>
      </c>
      <c r="B6" t="s">
        <v>20</v>
      </c>
      <c r="C6" t="s">
        <v>64</v>
      </c>
      <c r="D6" t="s">
        <v>243</v>
      </c>
      <c r="E6" t="s">
        <v>244</v>
      </c>
      <c r="F6" t="s">
        <v>245</v>
      </c>
      <c r="G6" s="2" t="s">
        <v>246</v>
      </c>
      <c r="H6" s="2">
        <f t="shared" ca="1" si="1"/>
        <v>0</v>
      </c>
    </row>
    <row r="7" spans="1:10" x14ac:dyDescent="0.35">
      <c r="A7" t="str">
        <f t="shared" ca="1" si="0"/>
        <v>Active</v>
      </c>
      <c r="B7" t="s">
        <v>24</v>
      </c>
      <c r="C7" t="s">
        <v>174</v>
      </c>
      <c r="D7" t="s">
        <v>247</v>
      </c>
      <c r="E7" t="s">
        <v>248</v>
      </c>
      <c r="F7" t="s">
        <v>249</v>
      </c>
      <c r="G7" s="2" t="s">
        <v>250</v>
      </c>
      <c r="H7" s="2">
        <f t="shared" ca="1" si="1"/>
        <v>0</v>
      </c>
    </row>
    <row r="8" spans="1:10" x14ac:dyDescent="0.35">
      <c r="A8" t="str">
        <f t="shared" ca="1" si="0"/>
        <v>Active</v>
      </c>
      <c r="B8" t="s">
        <v>28</v>
      </c>
      <c r="C8" t="s">
        <v>84</v>
      </c>
      <c r="D8" t="s">
        <v>251</v>
      </c>
      <c r="E8" t="s">
        <v>252</v>
      </c>
      <c r="F8" t="s">
        <v>253</v>
      </c>
      <c r="G8" s="2" t="s">
        <v>254</v>
      </c>
      <c r="H8" s="2">
        <f t="shared" ca="1" si="1"/>
        <v>0</v>
      </c>
    </row>
    <row r="9" spans="1:10" x14ac:dyDescent="0.35">
      <c r="A9" t="str">
        <f t="shared" ca="1" si="0"/>
        <v>Over Due</v>
      </c>
      <c r="B9" t="s">
        <v>32</v>
      </c>
      <c r="C9" t="s">
        <v>16</v>
      </c>
      <c r="D9" t="s">
        <v>255</v>
      </c>
      <c r="E9" t="s">
        <v>256</v>
      </c>
      <c r="F9" t="s">
        <v>257</v>
      </c>
      <c r="G9" s="2" t="s">
        <v>258</v>
      </c>
      <c r="H9" s="2">
        <f t="shared" ca="1" si="1"/>
        <v>1280.1199999999999</v>
      </c>
    </row>
    <row r="10" spans="1:10" x14ac:dyDescent="0.35">
      <c r="A10" t="str">
        <f t="shared" ca="1" si="0"/>
        <v>Over Due</v>
      </c>
      <c r="B10" t="s">
        <v>36</v>
      </c>
      <c r="C10" t="s">
        <v>198</v>
      </c>
      <c r="D10" t="s">
        <v>259</v>
      </c>
      <c r="E10" t="s">
        <v>260</v>
      </c>
      <c r="F10" t="s">
        <v>261</v>
      </c>
      <c r="G10" s="2" t="s">
        <v>262</v>
      </c>
      <c r="H10" s="2">
        <f t="shared" ca="1" si="1"/>
        <v>896.53733333333344</v>
      </c>
    </row>
    <row r="11" spans="1:10" x14ac:dyDescent="0.35">
      <c r="A11" t="str">
        <f t="shared" ca="1" si="0"/>
        <v>Active</v>
      </c>
      <c r="B11" t="s">
        <v>40</v>
      </c>
      <c r="C11" t="s">
        <v>40</v>
      </c>
      <c r="D11" t="s">
        <v>263</v>
      </c>
      <c r="E11" t="s">
        <v>264</v>
      </c>
      <c r="F11" t="s">
        <v>265</v>
      </c>
      <c r="G11" s="2" t="s">
        <v>266</v>
      </c>
      <c r="H11" s="2">
        <f t="shared" ca="1" si="1"/>
        <v>0</v>
      </c>
    </row>
    <row r="12" spans="1:10" x14ac:dyDescent="0.35">
      <c r="A12" t="str">
        <f t="shared" ca="1" si="0"/>
        <v>Active</v>
      </c>
      <c r="B12" t="s">
        <v>44</v>
      </c>
      <c r="C12" t="s">
        <v>142</v>
      </c>
      <c r="D12" t="s">
        <v>267</v>
      </c>
      <c r="E12" t="s">
        <v>268</v>
      </c>
      <c r="F12" t="s">
        <v>269</v>
      </c>
      <c r="G12" s="2" t="s">
        <v>270</v>
      </c>
      <c r="H12" s="2">
        <f t="shared" ca="1" si="1"/>
        <v>0</v>
      </c>
    </row>
    <row r="13" spans="1:10" x14ac:dyDescent="0.35">
      <c r="A13" t="str">
        <f t="shared" ca="1" si="0"/>
        <v>Active</v>
      </c>
      <c r="B13" t="s">
        <v>48</v>
      </c>
      <c r="C13" t="s">
        <v>100</v>
      </c>
      <c r="D13" t="s">
        <v>271</v>
      </c>
      <c r="E13" t="s">
        <v>272</v>
      </c>
      <c r="F13" t="s">
        <v>273</v>
      </c>
      <c r="G13" s="2" t="s">
        <v>274</v>
      </c>
      <c r="H13" s="2">
        <f t="shared" ca="1" si="1"/>
        <v>0</v>
      </c>
    </row>
    <row r="14" spans="1:10" x14ac:dyDescent="0.35">
      <c r="A14" t="str">
        <f t="shared" ca="1" si="0"/>
        <v>Active</v>
      </c>
      <c r="B14" t="s">
        <v>52</v>
      </c>
      <c r="C14" t="s">
        <v>24</v>
      </c>
      <c r="D14" t="s">
        <v>275</v>
      </c>
      <c r="E14" t="s">
        <v>276</v>
      </c>
      <c r="F14" t="s">
        <v>277</v>
      </c>
      <c r="G14" s="2" t="s">
        <v>278</v>
      </c>
      <c r="H14" s="2">
        <f t="shared" ca="1" si="1"/>
        <v>0</v>
      </c>
    </row>
    <row r="15" spans="1:10" x14ac:dyDescent="0.35">
      <c r="A15" t="str">
        <f t="shared" ca="1" si="0"/>
        <v>Active</v>
      </c>
      <c r="B15" t="s">
        <v>56</v>
      </c>
      <c r="C15" t="s">
        <v>126</v>
      </c>
      <c r="D15" t="s">
        <v>279</v>
      </c>
      <c r="E15" t="s">
        <v>280</v>
      </c>
      <c r="F15" t="s">
        <v>281</v>
      </c>
      <c r="G15" s="2" t="s">
        <v>282</v>
      </c>
      <c r="H15" s="2">
        <f t="shared" ca="1" si="1"/>
        <v>0</v>
      </c>
    </row>
    <row r="16" spans="1:10" x14ac:dyDescent="0.35">
      <c r="A16" t="str">
        <f t="shared" ca="1" si="0"/>
        <v>Active</v>
      </c>
      <c r="B16" t="s">
        <v>60</v>
      </c>
      <c r="C16" t="s">
        <v>44</v>
      </c>
      <c r="D16" t="s">
        <v>283</v>
      </c>
      <c r="E16" t="s">
        <v>284</v>
      </c>
      <c r="F16" t="s">
        <v>285</v>
      </c>
      <c r="G16" s="2" t="s">
        <v>286</v>
      </c>
      <c r="H16" s="2">
        <f t="shared" ca="1" si="1"/>
        <v>0</v>
      </c>
    </row>
    <row r="17" spans="1:8" x14ac:dyDescent="0.35">
      <c r="A17" t="str">
        <f t="shared" ca="1" si="0"/>
        <v>Active</v>
      </c>
      <c r="B17" t="s">
        <v>64</v>
      </c>
      <c r="C17" t="s">
        <v>100</v>
      </c>
      <c r="D17" t="s">
        <v>287</v>
      </c>
      <c r="E17" t="s">
        <v>288</v>
      </c>
      <c r="F17" t="s">
        <v>289</v>
      </c>
      <c r="G17" s="2" t="s">
        <v>290</v>
      </c>
      <c r="H17" s="2">
        <f t="shared" ca="1" si="1"/>
        <v>0</v>
      </c>
    </row>
    <row r="18" spans="1:8" x14ac:dyDescent="0.35">
      <c r="A18" t="str">
        <f t="shared" ca="1" si="0"/>
        <v>Active</v>
      </c>
      <c r="B18" t="s">
        <v>68</v>
      </c>
      <c r="C18" t="s">
        <v>12</v>
      </c>
      <c r="D18" t="s">
        <v>291</v>
      </c>
      <c r="E18" t="s">
        <v>292</v>
      </c>
      <c r="F18" t="s">
        <v>293</v>
      </c>
      <c r="G18" s="2" t="s">
        <v>294</v>
      </c>
      <c r="H18" s="2">
        <f t="shared" ca="1" si="1"/>
        <v>0</v>
      </c>
    </row>
    <row r="19" spans="1:8" x14ac:dyDescent="0.35">
      <c r="A19" t="str">
        <f t="shared" ca="1" si="0"/>
        <v>Active</v>
      </c>
      <c r="B19" t="s">
        <v>72</v>
      </c>
      <c r="C19" t="s">
        <v>104</v>
      </c>
      <c r="D19" t="s">
        <v>295</v>
      </c>
      <c r="E19" t="s">
        <v>296</v>
      </c>
      <c r="F19" t="s">
        <v>297</v>
      </c>
      <c r="G19" s="2" t="s">
        <v>298</v>
      </c>
      <c r="H19" s="2">
        <f t="shared" ca="1" si="1"/>
        <v>0</v>
      </c>
    </row>
    <row r="20" spans="1:8" x14ac:dyDescent="0.35">
      <c r="A20" t="str">
        <f t="shared" ca="1" si="0"/>
        <v>Active</v>
      </c>
      <c r="B20" t="s">
        <v>76</v>
      </c>
      <c r="C20" t="s">
        <v>72</v>
      </c>
      <c r="D20" t="s">
        <v>299</v>
      </c>
      <c r="E20" t="s">
        <v>300</v>
      </c>
      <c r="F20" t="s">
        <v>301</v>
      </c>
      <c r="G20" s="2" t="s">
        <v>302</v>
      </c>
      <c r="H20" s="2">
        <f t="shared" ca="1" si="1"/>
        <v>0</v>
      </c>
    </row>
    <row r="21" spans="1:8" x14ac:dyDescent="0.35">
      <c r="A21" t="str">
        <f t="shared" ca="1" si="0"/>
        <v>Active</v>
      </c>
      <c r="B21" t="s">
        <v>80</v>
      </c>
      <c r="C21" t="s">
        <v>190</v>
      </c>
      <c r="D21" t="s">
        <v>303</v>
      </c>
      <c r="E21" t="s">
        <v>304</v>
      </c>
      <c r="F21" t="s">
        <v>305</v>
      </c>
      <c r="G21" s="2" t="s">
        <v>306</v>
      </c>
      <c r="H21" s="2">
        <f t="shared" ca="1" si="1"/>
        <v>0</v>
      </c>
    </row>
    <row r="22" spans="1:8" x14ac:dyDescent="0.35">
      <c r="A22" t="str">
        <f t="shared" ca="1" si="0"/>
        <v>Active</v>
      </c>
      <c r="B22" t="s">
        <v>84</v>
      </c>
      <c r="C22" t="s">
        <v>16</v>
      </c>
      <c r="D22" t="s">
        <v>307</v>
      </c>
      <c r="E22" t="s">
        <v>308</v>
      </c>
      <c r="F22" t="s">
        <v>309</v>
      </c>
      <c r="G22" s="2" t="s">
        <v>310</v>
      </c>
      <c r="H22" s="2">
        <f t="shared" ca="1" si="1"/>
        <v>0</v>
      </c>
    </row>
    <row r="23" spans="1:8" x14ac:dyDescent="0.35">
      <c r="A23" t="str">
        <f t="shared" ca="1" si="0"/>
        <v>Active</v>
      </c>
      <c r="B23" t="s">
        <v>88</v>
      </c>
      <c r="C23" t="s">
        <v>20</v>
      </c>
      <c r="D23" t="s">
        <v>311</v>
      </c>
      <c r="E23" t="s">
        <v>312</v>
      </c>
      <c r="F23" t="s">
        <v>313</v>
      </c>
      <c r="G23" s="2" t="s">
        <v>314</v>
      </c>
      <c r="H23" s="2">
        <f t="shared" ca="1" si="1"/>
        <v>0</v>
      </c>
    </row>
    <row r="24" spans="1:8" x14ac:dyDescent="0.35">
      <c r="A24" t="str">
        <f t="shared" ca="1" si="0"/>
        <v>Active</v>
      </c>
      <c r="B24" t="s">
        <v>92</v>
      </c>
      <c r="C24" t="s">
        <v>84</v>
      </c>
      <c r="D24" t="s">
        <v>315</v>
      </c>
      <c r="E24" t="s">
        <v>316</v>
      </c>
      <c r="F24" t="s">
        <v>317</v>
      </c>
      <c r="G24" s="2" t="s">
        <v>318</v>
      </c>
      <c r="H24" s="2">
        <f t="shared" ca="1" si="1"/>
        <v>0</v>
      </c>
    </row>
    <row r="25" spans="1:8" x14ac:dyDescent="0.35">
      <c r="A25" t="str">
        <f t="shared" ca="1" si="0"/>
        <v>Active</v>
      </c>
      <c r="B25" t="s">
        <v>96</v>
      </c>
      <c r="C25" t="s">
        <v>64</v>
      </c>
      <c r="D25" t="s">
        <v>319</v>
      </c>
      <c r="E25" t="s">
        <v>320</v>
      </c>
      <c r="F25" t="s">
        <v>321</v>
      </c>
      <c r="G25" s="2" t="s">
        <v>322</v>
      </c>
      <c r="H25" s="2">
        <f t="shared" ca="1" si="1"/>
        <v>0</v>
      </c>
    </row>
    <row r="26" spans="1:8" x14ac:dyDescent="0.35">
      <c r="A26" t="str">
        <f t="shared" ca="1" si="0"/>
        <v>Active</v>
      </c>
      <c r="B26" t="s">
        <v>100</v>
      </c>
      <c r="C26" t="s">
        <v>178</v>
      </c>
      <c r="D26" t="s">
        <v>323</v>
      </c>
      <c r="E26" t="s">
        <v>324</v>
      </c>
      <c r="F26" t="s">
        <v>325</v>
      </c>
      <c r="G26" s="2" t="s">
        <v>326</v>
      </c>
      <c r="H26" s="2">
        <f t="shared" ca="1" si="1"/>
        <v>0</v>
      </c>
    </row>
    <row r="27" spans="1:8" x14ac:dyDescent="0.35">
      <c r="A27" t="str">
        <f t="shared" ca="1" si="0"/>
        <v>Active</v>
      </c>
      <c r="B27" t="s">
        <v>104</v>
      </c>
      <c r="C27" t="s">
        <v>194</v>
      </c>
      <c r="D27" t="s">
        <v>327</v>
      </c>
      <c r="E27" t="s">
        <v>328</v>
      </c>
      <c r="F27" t="s">
        <v>329</v>
      </c>
      <c r="G27" s="2" t="s">
        <v>330</v>
      </c>
      <c r="H27" s="2">
        <f t="shared" ca="1" si="1"/>
        <v>0</v>
      </c>
    </row>
    <row r="28" spans="1:8" x14ac:dyDescent="0.35">
      <c r="A28" t="str">
        <f t="shared" ca="1" si="0"/>
        <v>Active</v>
      </c>
      <c r="B28" t="s">
        <v>108</v>
      </c>
      <c r="C28" t="s">
        <v>4</v>
      </c>
      <c r="D28" t="s">
        <v>331</v>
      </c>
      <c r="E28" t="s">
        <v>332</v>
      </c>
      <c r="F28" t="s">
        <v>333</v>
      </c>
      <c r="G28" s="2" t="s">
        <v>334</v>
      </c>
      <c r="H28" s="2">
        <f t="shared" ca="1" si="1"/>
        <v>0</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
  <sheetViews>
    <sheetView workbookViewId="0">
      <selection activeCell="E3" sqref="E3"/>
    </sheetView>
  </sheetViews>
  <sheetFormatPr defaultRowHeight="14.5" x14ac:dyDescent="0.35"/>
  <cols>
    <col min="1" max="1" width="13.08984375" customWidth="1"/>
    <col min="2" max="2" width="10.26953125" customWidth="1"/>
    <col min="3" max="3" width="14" customWidth="1"/>
    <col min="4" max="4" width="11.1796875" customWidth="1"/>
  </cols>
  <sheetData>
    <row r="1" spans="1:5" x14ac:dyDescent="0.35">
      <c r="A1" t="s">
        <v>335</v>
      </c>
      <c r="B1" t="s">
        <v>222</v>
      </c>
      <c r="C1" t="s">
        <v>336</v>
      </c>
      <c r="D1" t="s">
        <v>337</v>
      </c>
      <c r="E1" t="s">
        <v>338</v>
      </c>
    </row>
    <row r="2" spans="1:5" x14ac:dyDescent="0.35">
      <c r="A2">
        <v>10001</v>
      </c>
      <c r="B2">
        <v>4</v>
      </c>
      <c r="C2" s="2">
        <v>8683.94</v>
      </c>
      <c r="D2" s="7">
        <v>46040</v>
      </c>
      <c r="E2" t="s">
        <v>362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workbookViewId="0">
      <selection activeCell="F8" sqref="F8"/>
    </sheetView>
  </sheetViews>
  <sheetFormatPr defaultRowHeight="14.5" x14ac:dyDescent="0.35"/>
  <cols>
    <col min="1" max="1" width="21.7265625" customWidth="1"/>
    <col min="3" max="3" width="14.453125" customWidth="1"/>
    <col min="4" max="4" width="15" customWidth="1"/>
  </cols>
  <sheetData>
    <row r="1" spans="1:4" x14ac:dyDescent="0.35">
      <c r="A1" t="s">
        <v>223</v>
      </c>
      <c r="B1" t="s">
        <v>339</v>
      </c>
      <c r="C1" t="s">
        <v>340</v>
      </c>
      <c r="D1" t="s">
        <v>338</v>
      </c>
    </row>
    <row r="2" spans="1:4" x14ac:dyDescent="0.35">
      <c r="A2" t="s">
        <v>287</v>
      </c>
      <c r="B2" t="s">
        <v>341</v>
      </c>
      <c r="C2" t="s">
        <v>342</v>
      </c>
      <c r="D2" t="s">
        <v>343</v>
      </c>
    </row>
    <row r="3" spans="1:4" x14ac:dyDescent="0.35">
      <c r="A3" t="s">
        <v>239</v>
      </c>
      <c r="B3" t="s">
        <v>341</v>
      </c>
      <c r="C3" t="s">
        <v>344</v>
      </c>
      <c r="D3" t="s">
        <v>343</v>
      </c>
    </row>
    <row r="4" spans="1:4" x14ac:dyDescent="0.35">
      <c r="A4" t="s">
        <v>231</v>
      </c>
      <c r="B4" t="s">
        <v>345</v>
      </c>
      <c r="C4" t="s">
        <v>346</v>
      </c>
      <c r="D4" t="s">
        <v>343</v>
      </c>
    </row>
    <row r="5" spans="1:4" x14ac:dyDescent="0.35">
      <c r="A5" t="s">
        <v>283</v>
      </c>
      <c r="B5" t="s">
        <v>347</v>
      </c>
      <c r="C5" t="s">
        <v>348</v>
      </c>
      <c r="D5" t="s">
        <v>343</v>
      </c>
    </row>
    <row r="6" spans="1:4" x14ac:dyDescent="0.35">
      <c r="A6" t="s">
        <v>275</v>
      </c>
      <c r="B6" t="s">
        <v>347</v>
      </c>
      <c r="C6" t="s">
        <v>344</v>
      </c>
      <c r="D6" t="s">
        <v>343</v>
      </c>
    </row>
    <row r="7" spans="1:4" x14ac:dyDescent="0.35">
      <c r="A7" t="s">
        <v>307</v>
      </c>
      <c r="B7" t="s">
        <v>345</v>
      </c>
      <c r="C7" t="s">
        <v>348</v>
      </c>
      <c r="D7" t="s">
        <v>343</v>
      </c>
    </row>
    <row r="8" spans="1:4" x14ac:dyDescent="0.35">
      <c r="A8" t="s">
        <v>235</v>
      </c>
      <c r="B8" t="s">
        <v>349</v>
      </c>
      <c r="C8" t="s">
        <v>348</v>
      </c>
      <c r="D8" t="s">
        <v>343</v>
      </c>
    </row>
    <row r="9" spans="1:4" x14ac:dyDescent="0.35">
      <c r="A9" t="s">
        <v>247</v>
      </c>
      <c r="B9" t="s">
        <v>350</v>
      </c>
      <c r="C9" t="s">
        <v>351</v>
      </c>
      <c r="D9" t="s">
        <v>343</v>
      </c>
    </row>
    <row r="10" spans="1:4" x14ac:dyDescent="0.35">
      <c r="A10" t="s">
        <v>267</v>
      </c>
      <c r="B10" t="s">
        <v>350</v>
      </c>
      <c r="C10" t="s">
        <v>348</v>
      </c>
      <c r="D10" t="s">
        <v>343</v>
      </c>
    </row>
    <row r="11" spans="1:4" x14ac:dyDescent="0.35">
      <c r="A11" t="s">
        <v>319</v>
      </c>
      <c r="B11" t="s">
        <v>347</v>
      </c>
      <c r="C11" t="s">
        <v>342</v>
      </c>
      <c r="D11" t="s">
        <v>343</v>
      </c>
    </row>
    <row r="12" spans="1:4" x14ac:dyDescent="0.35">
      <c r="A12" t="s">
        <v>327</v>
      </c>
      <c r="B12" t="s">
        <v>341</v>
      </c>
      <c r="C12" t="s">
        <v>346</v>
      </c>
      <c r="D12" t="s">
        <v>343</v>
      </c>
    </row>
    <row r="13" spans="1:4" x14ac:dyDescent="0.35">
      <c r="A13" t="s">
        <v>299</v>
      </c>
      <c r="B13" t="s">
        <v>345</v>
      </c>
      <c r="C13" t="s">
        <v>348</v>
      </c>
      <c r="D13" t="s">
        <v>343</v>
      </c>
    </row>
    <row r="14" spans="1:4" x14ac:dyDescent="0.35">
      <c r="A14" t="s">
        <v>259</v>
      </c>
      <c r="B14" t="s">
        <v>347</v>
      </c>
      <c r="C14" t="s">
        <v>342</v>
      </c>
      <c r="D14" t="s">
        <v>343</v>
      </c>
    </row>
    <row r="15" spans="1:4" x14ac:dyDescent="0.35">
      <c r="A15" t="s">
        <v>291</v>
      </c>
      <c r="B15" t="s">
        <v>349</v>
      </c>
      <c r="C15" t="s">
        <v>346</v>
      </c>
      <c r="D15" t="s">
        <v>343</v>
      </c>
    </row>
    <row r="16" spans="1:4" x14ac:dyDescent="0.35">
      <c r="A16" t="s">
        <v>352</v>
      </c>
      <c r="B16" t="s">
        <v>345</v>
      </c>
      <c r="C16" t="s">
        <v>348</v>
      </c>
      <c r="D16" t="s">
        <v>353</v>
      </c>
    </row>
    <row r="17" spans="1:4" x14ac:dyDescent="0.35">
      <c r="A17" t="s">
        <v>331</v>
      </c>
      <c r="B17" t="s">
        <v>350</v>
      </c>
      <c r="C17" t="s">
        <v>348</v>
      </c>
      <c r="D17" t="s">
        <v>343</v>
      </c>
    </row>
    <row r="18" spans="1:4" x14ac:dyDescent="0.35">
      <c r="A18" t="s">
        <v>279</v>
      </c>
      <c r="B18" t="s">
        <v>350</v>
      </c>
      <c r="C18" t="s">
        <v>344</v>
      </c>
      <c r="D18" t="s">
        <v>343</v>
      </c>
    </row>
    <row r="19" spans="1:4" x14ac:dyDescent="0.35">
      <c r="A19" t="s">
        <v>227</v>
      </c>
      <c r="B19" t="s">
        <v>347</v>
      </c>
      <c r="C19" t="s">
        <v>351</v>
      </c>
      <c r="D19" t="s">
        <v>343</v>
      </c>
    </row>
    <row r="20" spans="1:4" x14ac:dyDescent="0.35">
      <c r="A20" t="s">
        <v>255</v>
      </c>
      <c r="B20" t="s">
        <v>345</v>
      </c>
      <c r="C20" t="s">
        <v>348</v>
      </c>
      <c r="D20" t="s">
        <v>343</v>
      </c>
    </row>
    <row r="21" spans="1:4" x14ac:dyDescent="0.35">
      <c r="A21" t="s">
        <v>263</v>
      </c>
      <c r="B21" t="s">
        <v>350</v>
      </c>
      <c r="C21" t="s">
        <v>351</v>
      </c>
      <c r="D21" t="s">
        <v>343</v>
      </c>
    </row>
    <row r="22" spans="1:4" x14ac:dyDescent="0.35">
      <c r="A22" t="s">
        <v>243</v>
      </c>
      <c r="B22" t="s">
        <v>349</v>
      </c>
      <c r="C22" t="s">
        <v>348</v>
      </c>
      <c r="D22" t="s">
        <v>343</v>
      </c>
    </row>
    <row r="23" spans="1:4" x14ac:dyDescent="0.35">
      <c r="A23" t="s">
        <v>354</v>
      </c>
      <c r="B23" t="s">
        <v>347</v>
      </c>
      <c r="C23" t="s">
        <v>346</v>
      </c>
      <c r="D23" t="s">
        <v>353</v>
      </c>
    </row>
    <row r="24" spans="1:4" x14ac:dyDescent="0.35">
      <c r="A24" t="s">
        <v>355</v>
      </c>
      <c r="B24" t="s">
        <v>347</v>
      </c>
      <c r="C24" t="s">
        <v>351</v>
      </c>
      <c r="D24" t="s">
        <v>353</v>
      </c>
    </row>
    <row r="25" spans="1:4" x14ac:dyDescent="0.35">
      <c r="A25" t="s">
        <v>295</v>
      </c>
      <c r="B25" t="s">
        <v>349</v>
      </c>
      <c r="C25" t="s">
        <v>351</v>
      </c>
      <c r="D25" t="s">
        <v>343</v>
      </c>
    </row>
    <row r="26" spans="1:4" x14ac:dyDescent="0.35">
      <c r="A26" t="s">
        <v>323</v>
      </c>
      <c r="B26" t="s">
        <v>345</v>
      </c>
      <c r="C26" t="s">
        <v>351</v>
      </c>
      <c r="D26" t="s">
        <v>343</v>
      </c>
    </row>
    <row r="27" spans="1:4" x14ac:dyDescent="0.35">
      <c r="A27" t="s">
        <v>311</v>
      </c>
      <c r="B27" t="s">
        <v>341</v>
      </c>
      <c r="C27" t="s">
        <v>344</v>
      </c>
      <c r="D27" t="s">
        <v>343</v>
      </c>
    </row>
    <row r="28" spans="1:4" x14ac:dyDescent="0.35">
      <c r="A28" t="s">
        <v>271</v>
      </c>
      <c r="B28" t="s">
        <v>347</v>
      </c>
      <c r="C28" t="s">
        <v>342</v>
      </c>
      <c r="D28" t="s">
        <v>343</v>
      </c>
    </row>
    <row r="29" spans="1:4" x14ac:dyDescent="0.35">
      <c r="A29" t="s">
        <v>251</v>
      </c>
      <c r="B29" t="s">
        <v>350</v>
      </c>
      <c r="C29" t="s">
        <v>351</v>
      </c>
      <c r="D29" t="s">
        <v>343</v>
      </c>
    </row>
    <row r="30" spans="1:4" x14ac:dyDescent="0.35">
      <c r="A30" t="s">
        <v>315</v>
      </c>
      <c r="B30" t="s">
        <v>345</v>
      </c>
      <c r="C30" t="s">
        <v>348</v>
      </c>
      <c r="D30" t="s">
        <v>343</v>
      </c>
    </row>
    <row r="31" spans="1:4" x14ac:dyDescent="0.35">
      <c r="A31" t="s">
        <v>303</v>
      </c>
      <c r="B31" t="s">
        <v>345</v>
      </c>
      <c r="C31" t="s">
        <v>348</v>
      </c>
      <c r="D31" t="s">
        <v>343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README</vt:lpstr>
      <vt:lpstr>Customers</vt:lpstr>
      <vt:lpstr>Leases Pivot Table</vt:lpstr>
      <vt:lpstr>Leases</vt:lpstr>
      <vt:lpstr>Payments</vt:lpstr>
      <vt:lpstr>Vehicles</vt:lpstr>
      <vt:lpstr>Customers</vt:lpstr>
      <vt:lpstr>Leases</vt:lpstr>
      <vt:lpstr>Payments</vt:lpstr>
      <vt:lpstr>Vehicles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Mbiriri</dc:creator>
  <cp:lastModifiedBy>Francis Mbiriri</cp:lastModifiedBy>
  <dcterms:created xsi:type="dcterms:W3CDTF">2026-02-04T20:12:09Z</dcterms:created>
  <dcterms:modified xsi:type="dcterms:W3CDTF">2026-02-04T21:29:08Z</dcterms:modified>
</cp:coreProperties>
</file>